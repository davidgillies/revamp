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https://thestockholmenvi.sharepoint.com/sites/UrbanCircle/Delade dokument/REVAMP Docs/REVAMP Journal Paper/"/>
    </mc:Choice>
  </mc:AlternateContent>
  <xr:revisionPtr revIDLastSave="792" documentId="8_{1747F99D-0266-4247-979F-3894E2333949}" xr6:coauthVersionLast="36" xr6:coauthVersionMax="36" xr10:uidLastSave="{A4424451-8C42-4560-9A9D-B975BC5CFCAB}"/>
  <bookViews>
    <workbookView xWindow="0" yWindow="0" windowWidth="23040" windowHeight="8490" activeTab="4" xr2:uid="{00000000-000D-0000-FFFF-FFFF00000000}"/>
  </bookViews>
  <sheets>
    <sheet name="Introduction" sheetId="14" r:id="rId1"/>
    <sheet name="WasteQuality" sheetId="17" r:id="rId2"/>
    <sheet name="TreatmentProcesses" sheetId="16" r:id="rId3"/>
    <sheet name="Prices" sheetId="19" r:id="rId4"/>
    <sheet name="Results" sheetId="5" r:id="rId5"/>
    <sheet name="Graphs" sheetId="6" r:id="rId6"/>
  </sheets>
  <definedNames>
    <definedName name="_xlchart.v1.0" hidden="1">Graphs!$B$115:$B$118</definedName>
    <definedName name="_xlchart.v1.1" hidden="1">Graphs!$C$114</definedName>
    <definedName name="_xlchart.v1.2" hidden="1">Graphs!$C$115:$C$118</definedName>
    <definedName name="Z_120C81B3_8656_4BA4_9255_42267753A94D_.wvu.Rows" localSheetId="5" hidden="1">Graphs!$97:$119</definedName>
  </definedNames>
  <calcPr calcId="179021"/>
  <customWorkbookViews>
    <customWorkbookView name="Tool" guid="{120C81B3-8656-4BA4-9255-42267753A94D}" maximized="1" xWindow="-9" yWindow="-9" windowWidth="1938" windowHeight="1058"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9" i="5" l="1"/>
  <c r="E9" i="5"/>
  <c r="C9" i="5"/>
  <c r="C12" i="5" l="1"/>
  <c r="G40" i="5" l="1"/>
  <c r="G38" i="5"/>
  <c r="G36" i="5"/>
  <c r="G33" i="5"/>
  <c r="G29" i="5"/>
  <c r="G31" i="5" s="1"/>
  <c r="G39" i="5" l="1"/>
  <c r="G35" i="5"/>
  <c r="G32" i="5"/>
  <c r="G37" i="5"/>
  <c r="G30" i="5"/>
  <c r="G34" i="5"/>
  <c r="E40" i="5"/>
  <c r="E38" i="5"/>
  <c r="E36" i="5"/>
  <c r="G41" i="5" l="1"/>
  <c r="E33" i="5"/>
  <c r="E29" i="5"/>
  <c r="E31" i="5" s="1"/>
  <c r="C40" i="5"/>
  <c r="C38" i="5"/>
  <c r="C36" i="5"/>
  <c r="C33" i="5"/>
  <c r="C34" i="5" s="1"/>
  <c r="C29" i="5"/>
  <c r="C32" i="5" s="1"/>
  <c r="C31" i="5" l="1"/>
  <c r="C41" i="5"/>
  <c r="E39" i="5"/>
  <c r="E37" i="5"/>
  <c r="E35" i="5"/>
  <c r="E34" i="5"/>
  <c r="E32" i="5"/>
  <c r="E30" i="5"/>
  <c r="C37" i="5"/>
  <c r="C39" i="5"/>
  <c r="C35" i="5"/>
  <c r="C30" i="5"/>
  <c r="G49" i="5"/>
  <c r="G47" i="5"/>
  <c r="G45" i="5"/>
  <c r="G42" i="5"/>
  <c r="G43" i="5" s="1"/>
  <c r="E49" i="5"/>
  <c r="E47" i="5"/>
  <c r="E45" i="5"/>
  <c r="E42" i="5"/>
  <c r="E43" i="5" s="1"/>
  <c r="C23" i="5"/>
  <c r="C21" i="5"/>
  <c r="C49" i="5"/>
  <c r="C47" i="5"/>
  <c r="C45" i="5"/>
  <c r="C42" i="5"/>
  <c r="C43" i="5" s="1"/>
  <c r="G23" i="5"/>
  <c r="G21" i="5"/>
  <c r="G19" i="5"/>
  <c r="G16" i="5"/>
  <c r="G17" i="5" s="1"/>
  <c r="G12" i="5"/>
  <c r="G13" i="5" s="1"/>
  <c r="E23" i="5"/>
  <c r="E21" i="5"/>
  <c r="E19" i="5"/>
  <c r="E16" i="5"/>
  <c r="E17" i="5" s="1"/>
  <c r="E12" i="5"/>
  <c r="E14" i="5" s="1"/>
  <c r="G27" i="5"/>
  <c r="G26" i="5"/>
  <c r="G25" i="5"/>
  <c r="G28" i="5" s="1"/>
  <c r="E27" i="5"/>
  <c r="E26" i="5"/>
  <c r="E25" i="5"/>
  <c r="E28" i="5" s="1"/>
  <c r="C27" i="5"/>
  <c r="C26" i="5"/>
  <c r="C25" i="5"/>
  <c r="C28" i="5" s="1"/>
  <c r="C19" i="5"/>
  <c r="C16" i="5"/>
  <c r="C17" i="5" s="1"/>
  <c r="C14" i="5"/>
  <c r="G22" i="5" l="1"/>
  <c r="C46" i="5"/>
  <c r="C48" i="5"/>
  <c r="C44" i="5"/>
  <c r="E44" i="5"/>
  <c r="G44" i="5"/>
  <c r="E46" i="5"/>
  <c r="G46" i="5"/>
  <c r="E48" i="5"/>
  <c r="G48" i="5"/>
  <c r="G18" i="5"/>
  <c r="G14" i="5"/>
  <c r="G15" i="5"/>
  <c r="G24" i="5" s="1"/>
  <c r="E20" i="5"/>
  <c r="E15" i="5"/>
  <c r="E24" i="5" s="1"/>
  <c r="E41" i="5"/>
  <c r="C13" i="5"/>
  <c r="C20" i="5"/>
  <c r="C15" i="5"/>
  <c r="C24" i="5" s="1"/>
  <c r="C22" i="5"/>
  <c r="C18" i="5"/>
  <c r="G20" i="5"/>
  <c r="E22" i="5"/>
  <c r="E13" i="5"/>
  <c r="E18" i="5"/>
  <c r="AM110" i="6" l="1"/>
  <c r="AN107" i="6"/>
  <c r="AL110" i="6"/>
  <c r="AM107" i="6"/>
  <c r="AL107" i="6"/>
  <c r="AL116" i="6"/>
  <c r="AN110" i="6"/>
  <c r="AL102" i="6" l="1"/>
  <c r="AL100" i="6"/>
  <c r="AA102" i="6" l="1"/>
  <c r="AA100" i="6"/>
  <c r="O102" i="6"/>
  <c r="O100" i="6"/>
  <c r="AA116" i="6"/>
  <c r="O116" i="6"/>
  <c r="AC110" i="6"/>
  <c r="AB110" i="6"/>
  <c r="AA110" i="6"/>
  <c r="AC107" i="6"/>
  <c r="AB107" i="6"/>
  <c r="AA107" i="6"/>
  <c r="Q110" i="6"/>
  <c r="P110" i="6"/>
  <c r="O110" i="6"/>
  <c r="Q107" i="6"/>
  <c r="P107" i="6"/>
  <c r="O107" i="6"/>
  <c r="C102" i="6"/>
  <c r="D110" i="6"/>
  <c r="C110" i="6"/>
  <c r="C116" i="6"/>
  <c r="C100" i="6"/>
  <c r="AB109" i="6" l="1"/>
  <c r="AM109" i="6"/>
  <c r="AA109" i="6"/>
  <c r="AL109" i="6"/>
  <c r="AN109" i="6"/>
  <c r="O109" i="6"/>
  <c r="Q109" i="6"/>
  <c r="P109" i="6"/>
  <c r="AC109" i="6"/>
  <c r="D107" i="6"/>
  <c r="E107" i="6"/>
  <c r="E110" i="6"/>
  <c r="C107" i="6"/>
  <c r="E109" i="6"/>
  <c r="C109" i="6"/>
  <c r="D109" i="6"/>
  <c r="AA115" i="6" l="1"/>
  <c r="AL115" i="6"/>
  <c r="AA101" i="6"/>
  <c r="AL101" i="6"/>
  <c r="C99" i="6"/>
  <c r="O115" i="6"/>
  <c r="O99" i="6"/>
  <c r="C115" i="6"/>
  <c r="C101" i="6"/>
  <c r="O101" i="6"/>
  <c r="AA99" i="6" l="1"/>
  <c r="AL99" i="6"/>
</calcChain>
</file>

<file path=xl/sharedStrings.xml><?xml version="1.0" encoding="utf-8"?>
<sst xmlns="http://schemas.openxmlformats.org/spreadsheetml/2006/main" count="300" uniqueCount="167">
  <si>
    <t>Units</t>
  </si>
  <si>
    <t>Biogas</t>
  </si>
  <si>
    <t>Parameter</t>
  </si>
  <si>
    <t>Reference(s)</t>
  </si>
  <si>
    <t>Total solids, TS</t>
  </si>
  <si>
    <t>%</t>
  </si>
  <si>
    <t>mg/L</t>
  </si>
  <si>
    <t>% TS</t>
  </si>
  <si>
    <t>Total Nitrogen, TN</t>
  </si>
  <si>
    <t>mg N/L</t>
  </si>
  <si>
    <t>mg P/L</t>
  </si>
  <si>
    <t>Calorific Value, CV</t>
  </si>
  <si>
    <t>MJ/Kg TS</t>
  </si>
  <si>
    <t>Sewage Sludge</t>
  </si>
  <si>
    <t>Organic Municipal Solid Waste</t>
  </si>
  <si>
    <t>mg K/L</t>
  </si>
  <si>
    <t>Total Phosphorus, TP</t>
  </si>
  <si>
    <t>Biomethane Potential, BMP</t>
  </si>
  <si>
    <t>Total Potassium, TK</t>
  </si>
  <si>
    <t>mg K/kg TS</t>
  </si>
  <si>
    <t>mg N/kg TS</t>
  </si>
  <si>
    <t>mg P/kg TS</t>
  </si>
  <si>
    <t>Sewage sludge</t>
  </si>
  <si>
    <t>US$/ton</t>
  </si>
  <si>
    <t>% of initial TN</t>
  </si>
  <si>
    <t>% of initial TK</t>
  </si>
  <si>
    <t>% of initial TP</t>
  </si>
  <si>
    <t>% of initial mass</t>
  </si>
  <si>
    <t>Financial Value for FS</t>
  </si>
  <si>
    <t>Nutrients for FS</t>
  </si>
  <si>
    <t>Energy Value in MJ for FS</t>
  </si>
  <si>
    <t>Financial Value for Sewage Sludge</t>
  </si>
  <si>
    <t>Nutrients for Sewage sludge</t>
  </si>
  <si>
    <t>Energy Value in MJ for sewage sludge</t>
  </si>
  <si>
    <t>Financial Value for Organic MSW</t>
  </si>
  <si>
    <t>Nutrients for Organic MSW</t>
  </si>
  <si>
    <t>Energy Value in MJ for Organic MSW</t>
  </si>
  <si>
    <t>Solid Fuel</t>
  </si>
  <si>
    <t>Waste Streams &gt;&gt;&gt;&gt;</t>
  </si>
  <si>
    <t>Amount available per day</t>
  </si>
  <si>
    <t>Nitrogen</t>
  </si>
  <si>
    <t>Phosphorus</t>
  </si>
  <si>
    <t>Potassium</t>
  </si>
  <si>
    <t>Typical value with bars indicating the minimum and maximum values possible</t>
  </si>
  <si>
    <t>tonnes/day</t>
  </si>
  <si>
    <t>Schöbitz et al. (2014)</t>
  </si>
  <si>
    <t>Muspratt et al. (2014)</t>
  </si>
  <si>
    <t>van Huis et al. (2013)</t>
  </si>
  <si>
    <t>Banks (2014)</t>
  </si>
  <si>
    <t>Alfa et al. (2014)</t>
  </si>
  <si>
    <t>NWSC (2008)</t>
  </si>
  <si>
    <t>Komakech (2014)</t>
  </si>
  <si>
    <t>Afrane &amp; Ntiamoah (2012) and Vögeli et al. (2014)</t>
  </si>
  <si>
    <t>Ferguson (2012)</t>
  </si>
  <si>
    <t>Diener et al. (2014)</t>
  </si>
  <si>
    <t>Faecal Sludge</t>
  </si>
  <si>
    <t xml:space="preserve">Faecal sludge comes from onsite sanitation technologies, i.e., it has not been transported through a sewer. It results from the collection and storage/treatment of excreta or blackwater, with or without greywater. Faecal sludge includes both sludge from pit latrines and that from septic tanks. </t>
  </si>
  <si>
    <t xml:space="preserve">Sewage sludge (also referred to as wastewater sludge) is sludge that originates from sewer-based wastewater collection and (semi-) centralized treatment processes. </t>
  </si>
  <si>
    <r>
      <t>m</t>
    </r>
    <r>
      <rPr>
        <vertAlign val="superscript"/>
        <sz val="11"/>
        <color theme="1"/>
        <rFont val="Calibri"/>
        <family val="2"/>
        <scheme val="minor"/>
      </rPr>
      <t>3</t>
    </r>
    <r>
      <rPr>
        <sz val="11"/>
        <color theme="1"/>
        <rFont val="Calibri"/>
        <family val="2"/>
        <scheme val="minor"/>
      </rPr>
      <t>/day</t>
    </r>
  </si>
  <si>
    <r>
      <t>US$/Nm</t>
    </r>
    <r>
      <rPr>
        <vertAlign val="superscript"/>
        <sz val="11"/>
        <color theme="1"/>
        <rFont val="Calibri"/>
        <family val="2"/>
        <scheme val="minor"/>
      </rPr>
      <t>3</t>
    </r>
  </si>
  <si>
    <r>
      <t>Amount of Biogas in Nm</t>
    </r>
    <r>
      <rPr>
        <vertAlign val="superscript"/>
        <sz val="11"/>
        <color theme="1"/>
        <rFont val="Calibri"/>
        <family val="2"/>
        <scheme val="minor"/>
      </rPr>
      <t>3</t>
    </r>
  </si>
  <si>
    <t>N by mass (tonnes)</t>
  </si>
  <si>
    <t>P by mass (tonnes)</t>
  </si>
  <si>
    <t>K by mass (tonnes)</t>
  </si>
  <si>
    <t>This is the organic part of the urban solid waste and it includes items like food waste, market waste and crop residues</t>
  </si>
  <si>
    <t>Mutafela (2015), Lalander et al. (2015), Diener et al. (2011)</t>
  </si>
  <si>
    <t>Nutrients for ALL waste streams combined</t>
  </si>
  <si>
    <t>Energy Value in MJ for ALL waste streams combined</t>
  </si>
  <si>
    <t>Financial Value for ALL waste streams combined</t>
  </si>
  <si>
    <t>Diener (2010) page 58, 59 of thesis</t>
  </si>
  <si>
    <t>Average based on Breitenbeck &amp; Schellinger (2004)</t>
  </si>
  <si>
    <t>Average based on Galvin (2013)</t>
  </si>
  <si>
    <t>Average based on Eghball et al. (1997)</t>
  </si>
  <si>
    <t>Average based on Sommer et al. (2001)</t>
  </si>
  <si>
    <t>Assumed based on Sheppard, Newton and Burtle (2008)</t>
  </si>
  <si>
    <r>
      <t>Total nitrogen (TN) reduction in BSF residue, TNR</t>
    </r>
    <r>
      <rPr>
        <vertAlign val="subscript"/>
        <sz val="11"/>
        <color theme="1"/>
        <rFont val="Calibri"/>
        <family val="2"/>
        <scheme val="minor"/>
      </rPr>
      <t>BSF</t>
    </r>
  </si>
  <si>
    <r>
      <t>Total phosphorus (TP) reduction in BSF residue, TPR</t>
    </r>
    <r>
      <rPr>
        <vertAlign val="subscript"/>
        <sz val="11"/>
        <color theme="1"/>
        <rFont val="Calibri"/>
        <family val="2"/>
        <scheme val="minor"/>
      </rPr>
      <t>BSF</t>
    </r>
  </si>
  <si>
    <r>
      <t>Total potassium (TK) reduction in BSF residue, TKR</t>
    </r>
    <r>
      <rPr>
        <vertAlign val="subscript"/>
        <sz val="11"/>
        <color theme="1"/>
        <rFont val="Calibri"/>
        <family val="2"/>
        <scheme val="minor"/>
      </rPr>
      <t>BSF</t>
    </r>
  </si>
  <si>
    <r>
      <t>Dry Mass Reduction rate for anaerobic digestion (AD) residue, DMR</t>
    </r>
    <r>
      <rPr>
        <vertAlign val="subscript"/>
        <sz val="11"/>
        <color theme="1"/>
        <rFont val="Calibri"/>
        <family val="2"/>
        <scheme val="minor"/>
      </rPr>
      <t>AD</t>
    </r>
  </si>
  <si>
    <t>% of initial TS</t>
  </si>
  <si>
    <t>Biomass conversion rate for black soldier fly (BSF) larvae, BCR</t>
  </si>
  <si>
    <r>
      <t>Dry Mass Reduction rate for BSF residue, DMR</t>
    </r>
    <r>
      <rPr>
        <vertAlign val="subscript"/>
        <sz val="11"/>
        <color theme="1"/>
        <rFont val="Calibri"/>
        <family val="2"/>
        <scheme val="minor"/>
      </rPr>
      <t>BSF</t>
    </r>
  </si>
  <si>
    <r>
      <t>Dry Mass Reduction in compost, DMR</t>
    </r>
    <r>
      <rPr>
        <vertAlign val="subscript"/>
        <sz val="11"/>
        <color theme="1"/>
        <rFont val="Calibri"/>
        <family val="2"/>
        <scheme val="minor"/>
      </rPr>
      <t>C</t>
    </r>
  </si>
  <si>
    <r>
      <t>Total nitrogen (TN) reduction during composting, TNR</t>
    </r>
    <r>
      <rPr>
        <vertAlign val="subscript"/>
        <sz val="11"/>
        <color theme="1"/>
        <rFont val="Calibri"/>
        <family val="2"/>
        <scheme val="minor"/>
      </rPr>
      <t>C</t>
    </r>
  </si>
  <si>
    <r>
      <t>Total phosphorus (TP) reduction during composting, TPR</t>
    </r>
    <r>
      <rPr>
        <vertAlign val="subscript"/>
        <sz val="11"/>
        <color theme="1"/>
        <rFont val="Calibri"/>
        <family val="2"/>
        <scheme val="minor"/>
      </rPr>
      <t>C</t>
    </r>
  </si>
  <si>
    <r>
      <t>Total potassium (TK) reduction during composting, TKR</t>
    </r>
    <r>
      <rPr>
        <vertAlign val="subscript"/>
        <sz val="11"/>
        <color theme="1"/>
        <rFont val="Calibri"/>
        <family val="2"/>
        <scheme val="minor"/>
      </rPr>
      <t>C</t>
    </r>
  </si>
  <si>
    <r>
      <t>Volatile Solids Degradation rate, VS</t>
    </r>
    <r>
      <rPr>
        <vertAlign val="subscript"/>
        <sz val="11"/>
        <color theme="1"/>
        <rFont val="Calibri"/>
        <family val="2"/>
        <scheme val="minor"/>
      </rPr>
      <t>D</t>
    </r>
  </si>
  <si>
    <t>Anaerobic Digestion</t>
  </si>
  <si>
    <t>Black Soldier Fly Process</t>
  </si>
  <si>
    <t>Compost</t>
  </si>
  <si>
    <t>FS</t>
  </si>
  <si>
    <t>SS</t>
  </si>
  <si>
    <t>Faecal Sludge (FS)</t>
  </si>
  <si>
    <t>Sewage Sludge (SS)</t>
  </si>
  <si>
    <t>Organic Municipal Solid Waste (OMSW)</t>
  </si>
  <si>
    <t>OMSW</t>
  </si>
  <si>
    <t>Total</t>
  </si>
  <si>
    <t>Select what % of waste goes to what option</t>
  </si>
  <si>
    <t>Solid fuel</t>
  </si>
  <si>
    <t>Black soldier fly larvae</t>
  </si>
  <si>
    <t>Potential Price</t>
  </si>
  <si>
    <t>Product</t>
  </si>
  <si>
    <t>Volatile solids, VS</t>
  </si>
  <si>
    <t>Estimate based on Davidsson et al. (2007) and Kjerstadius et al. (2015)</t>
  </si>
  <si>
    <r>
      <t>Estimate based on K</t>
    </r>
    <r>
      <rPr>
        <vertAlign val="subscript"/>
        <sz val="11"/>
        <color theme="1"/>
        <rFont val="Calibri"/>
        <family val="2"/>
        <scheme val="minor"/>
      </rPr>
      <t>2</t>
    </r>
    <r>
      <rPr>
        <sz val="11"/>
        <color theme="1"/>
        <rFont val="Calibri"/>
        <family val="2"/>
        <scheme val="minor"/>
      </rPr>
      <t xml:space="preserve">O figures for primary sludge from Tchobanoglous et al. (2003) </t>
    </r>
  </si>
  <si>
    <t>Estimate based on TKN in Schöbitz et al. (2014)</t>
  </si>
  <si>
    <t>Estimate based on K2O from Johannesson 1999, Tchobanoglous</t>
  </si>
  <si>
    <r>
      <t>Estimate based on P</t>
    </r>
    <r>
      <rPr>
        <vertAlign val="subscript"/>
        <sz val="11"/>
        <color theme="1"/>
        <rFont val="Calibri"/>
        <family val="2"/>
        <scheme val="minor"/>
      </rPr>
      <t>2</t>
    </r>
    <r>
      <rPr>
        <sz val="11"/>
        <color theme="1"/>
        <rFont val="Calibri"/>
        <family val="2"/>
        <scheme val="minor"/>
      </rPr>
      <t>O</t>
    </r>
    <r>
      <rPr>
        <vertAlign val="subscript"/>
        <sz val="11"/>
        <color theme="1"/>
        <rFont val="Calibri"/>
        <family val="2"/>
        <scheme val="minor"/>
      </rPr>
      <t>5</t>
    </r>
    <r>
      <rPr>
        <sz val="11"/>
        <color theme="1"/>
        <rFont val="Calibri"/>
        <family val="2"/>
        <scheme val="minor"/>
      </rPr>
      <t xml:space="preserve"> from Tchobanoglous et al. (2003)</t>
    </r>
  </si>
  <si>
    <t>Estimate based on Tchobanoglous et al. (2003)</t>
  </si>
  <si>
    <t>Semiyaga et al. (2015)</t>
  </si>
  <si>
    <t>Estimate based on Vögeli et al (2014)</t>
  </si>
  <si>
    <r>
      <t>Nm</t>
    </r>
    <r>
      <rPr>
        <vertAlign val="superscript"/>
        <sz val="11"/>
        <color theme="1"/>
        <rFont val="Calibri"/>
        <family val="2"/>
        <scheme val="minor"/>
      </rPr>
      <t>3</t>
    </r>
    <r>
      <rPr>
        <sz val="11"/>
        <color theme="1"/>
        <rFont val="Calibri"/>
        <family val="2"/>
        <scheme val="minor"/>
      </rPr>
      <t xml:space="preserve"> CH</t>
    </r>
    <r>
      <rPr>
        <vertAlign val="subscript"/>
        <sz val="11"/>
        <color theme="1"/>
        <rFont val="Calibri"/>
        <family val="2"/>
        <scheme val="minor"/>
      </rPr>
      <t>4</t>
    </r>
    <r>
      <rPr>
        <sz val="11"/>
        <color theme="1"/>
        <rFont val="Calibri"/>
        <family val="2"/>
        <scheme val="minor"/>
      </rPr>
      <t>/tonne VS</t>
    </r>
  </si>
  <si>
    <r>
      <rPr>
        <b/>
        <sz val="11"/>
        <rFont val="Arial"/>
        <family val="2"/>
      </rPr>
      <t>COMPOST</t>
    </r>
    <r>
      <rPr>
        <b/>
        <sz val="10"/>
        <rFont val="Arial"/>
        <family val="2"/>
      </rPr>
      <t xml:space="preserve">
Fertilizer/Soil conditioner 
from composting</t>
    </r>
  </si>
  <si>
    <t>Energy Content (MJ)</t>
  </si>
  <si>
    <t>Energy Content (kWh)</t>
  </si>
  <si>
    <t>Amount of AD Residue (tonnes, dry mass)</t>
  </si>
  <si>
    <t>Potential biogas revenue (US$)</t>
  </si>
  <si>
    <t>Potential AD residue revenue (US$)</t>
  </si>
  <si>
    <t>N% of AD residue</t>
  </si>
  <si>
    <t>P% of AD residue</t>
  </si>
  <si>
    <t>K% of AD residue</t>
  </si>
  <si>
    <t>Energy content (MJ)</t>
  </si>
  <si>
    <t>Energy content (kWh)</t>
  </si>
  <si>
    <t>Total potential AD revenue (US$)</t>
  </si>
  <si>
    <t>SOLID FUEL</t>
  </si>
  <si>
    <t>Total potential solid fuel revenue (US$)</t>
  </si>
  <si>
    <t>N% of BSF residue</t>
  </si>
  <si>
    <t>P% of BSF residue</t>
  </si>
  <si>
    <t>K% of BSF residue</t>
  </si>
  <si>
    <t>N% of compost</t>
  </si>
  <si>
    <t>P% of compost</t>
  </si>
  <si>
    <t>K% of compost</t>
  </si>
  <si>
    <t>Total potential compost revenue (US$)</t>
  </si>
  <si>
    <t>Amount of compost (tonnes, dry mass)</t>
  </si>
  <si>
    <t>Protein content (tonnes)</t>
  </si>
  <si>
    <t>Fat content (tonnes)</t>
  </si>
  <si>
    <t>Total potential BSF revenue (US$)</t>
  </si>
  <si>
    <t>Potential BSF residue revenue (US$)</t>
  </si>
  <si>
    <t>Potential larvae revenue (US$)</t>
  </si>
  <si>
    <t>Amount of BSF Residue (tonnes, dry mass)</t>
  </si>
  <si>
    <t>Amount of BSF Larvae (tonnes, dry mass)</t>
  </si>
  <si>
    <t>Amount of solid fuel (tonnes, dry mass)</t>
  </si>
  <si>
    <r>
      <rPr>
        <b/>
        <sz val="11"/>
        <rFont val="Arial"/>
        <family val="2"/>
      </rPr>
      <t>BLACK SOLDIER FLY</t>
    </r>
    <r>
      <rPr>
        <b/>
        <sz val="10"/>
        <rFont val="Arial"/>
        <family val="2"/>
      </rPr>
      <t xml:space="preserve">
 Larvae
 Residue for fertilizer/soil amendment</t>
    </r>
  </si>
  <si>
    <t>BSF Processing</t>
  </si>
  <si>
    <t>Composting</t>
  </si>
  <si>
    <r>
      <rPr>
        <b/>
        <sz val="11"/>
        <rFont val="Arial"/>
        <family val="2"/>
      </rPr>
      <t xml:space="preserve">ANAEROBIC DIGESTION 
</t>
    </r>
    <r>
      <rPr>
        <b/>
        <sz val="10"/>
        <rFont val="Arial"/>
        <family val="2"/>
      </rPr>
      <t xml:space="preserve">Biogas
Residue for fertilizer/soil amendment 
</t>
    </r>
  </si>
  <si>
    <t>Resource Value Mapping (REVAMP)</t>
  </si>
  <si>
    <t>Introduction</t>
  </si>
  <si>
    <t>Step 1</t>
  </si>
  <si>
    <t>Step 2</t>
  </si>
  <si>
    <r>
      <t xml:space="preserve">The </t>
    </r>
    <r>
      <rPr>
        <b/>
        <sz val="11"/>
        <color theme="1"/>
        <rFont val="Calibri"/>
        <family val="2"/>
        <scheme val="minor"/>
      </rPr>
      <t>WasteQuality</t>
    </r>
    <r>
      <rPr>
        <sz val="11"/>
        <color theme="1"/>
        <rFont val="Calibri"/>
        <family val="2"/>
        <scheme val="minor"/>
      </rPr>
      <t xml:space="preserve"> sheet has default data on the physical and chemical characteristic of the waste streams. If you have data available for some or all of the various parameters in your city/town, please fill that data in and replace the default values. Otherwise, you can maintain the default values.</t>
    </r>
  </si>
  <si>
    <r>
      <t xml:space="preserve">The </t>
    </r>
    <r>
      <rPr>
        <b/>
        <sz val="11"/>
        <color theme="1"/>
        <rFont val="Calibri"/>
        <family val="2"/>
        <scheme val="minor"/>
      </rPr>
      <t>TreatmentProcesses</t>
    </r>
    <r>
      <rPr>
        <sz val="11"/>
        <color theme="1"/>
        <rFont val="Calibri"/>
        <family val="2"/>
        <scheme val="minor"/>
      </rPr>
      <t xml:space="preserve"> sheet has default data on the physical and chemical transformation of waste streams as they go through the treatment processes. If you have data available for some or all of the various parameters in your city/town, based on previous experience with the resource recovery technologies, please fill that data in and replace the default values. Otherwise, you can maintain the default values.</t>
    </r>
  </si>
  <si>
    <t>Step 3</t>
  </si>
  <si>
    <r>
      <t xml:space="preserve">The </t>
    </r>
    <r>
      <rPr>
        <b/>
        <sz val="11"/>
        <color theme="1"/>
        <rFont val="Calibri"/>
        <family val="2"/>
        <scheme val="minor"/>
      </rPr>
      <t>Prices</t>
    </r>
    <r>
      <rPr>
        <sz val="11"/>
        <color theme="1"/>
        <rFont val="Calibri"/>
        <family val="2"/>
        <scheme val="minor"/>
      </rPr>
      <t xml:space="preserve"> sheet has default data on the potential prices that resource recovery products can be sold at on the local market. If some or all of these products are already being sold in your city/town, please use the applicable price values. Otherwise, you can estimate potential prices in dialogue with stakeolders, basing on the prices of similar or equivalent products that could be substituted or complimented by the resource recovery products.</t>
    </r>
  </si>
  <si>
    <t>Step 4</t>
  </si>
  <si>
    <t>Step 5</t>
  </si>
  <si>
    <r>
      <t xml:space="preserve">In the </t>
    </r>
    <r>
      <rPr>
        <b/>
        <sz val="11"/>
        <color theme="1"/>
        <rFont val="Calibri"/>
        <family val="2"/>
        <scheme val="minor"/>
      </rPr>
      <t>Results</t>
    </r>
    <r>
      <rPr>
        <sz val="11"/>
        <color theme="1"/>
        <rFont val="Calibri"/>
        <family val="2"/>
        <scheme val="minor"/>
      </rPr>
      <t xml:space="preserve"> sheet, enter the amounts of waste streams that you have available in your city/town and determine what percentage of each waste stream should be used for each resource recovery option. The Table below will then be populated with results indicating the resource recovery potential for each option. You can explore various scenarios, each with different amounts of waste streams (e.g. present and future projections) and you can also explore various combinations of resource recovery options in the matrix of options. You can click the </t>
    </r>
    <r>
      <rPr>
        <b/>
        <sz val="11"/>
        <color theme="1"/>
        <rFont val="Calibri"/>
        <family val="2"/>
        <scheme val="minor"/>
      </rPr>
      <t>buttons</t>
    </r>
    <r>
      <rPr>
        <sz val="11"/>
        <color theme="1"/>
        <rFont val="Calibri"/>
        <family val="2"/>
        <scheme val="minor"/>
      </rPr>
      <t xml:space="preserve"> in the top left-hand corner to show summarised or detailed results and you can also copy the results of one scenario to a new sheet so as to save them while you explore other potential scenarios. You will be prompted to name the new sheets copied for each scenario hence, you can use names like "Result-A" &amp; "Graph-A" for a given scenario.</t>
    </r>
  </si>
  <si>
    <t>Section 1: Step-wise Instructions</t>
  </si>
  <si>
    <r>
      <t xml:space="preserve">The </t>
    </r>
    <r>
      <rPr>
        <b/>
        <sz val="11"/>
        <color theme="1"/>
        <rFont val="Calibri"/>
        <family val="2"/>
        <scheme val="minor"/>
      </rPr>
      <t>Graphs</t>
    </r>
    <r>
      <rPr>
        <sz val="11"/>
        <color theme="1"/>
        <rFont val="Calibri"/>
        <family val="2"/>
        <scheme val="minor"/>
      </rPr>
      <t xml:space="preserve"> sheet contains bar graphs that you can use to compare the various resource recovery options on the basis of their revenue potential, the amounts of nutrients that can be recovered and the energy amount that can be recovered. The graphs here are also copied and saved to a new sheet along with the related Results table, when you use the "Copy Results &amp; Graphs to New Sheet" button.</t>
    </r>
  </si>
  <si>
    <t>Section 2: Waste Streams in REVAMP</t>
  </si>
  <si>
    <t>Section 3: Resource Recovery Options in REVAMP</t>
  </si>
  <si>
    <t xml:space="preserve">This tool consists of five (5) worksheets which altogether enable the estimation of the resource recovery potential of organic waste streams in a city/town. The current version of the tool includes three waste streams (section 2) and four resource recovery options (section 3). To use the tool, follow the step-wise instructions described below in section 1. </t>
  </si>
  <si>
    <t>This is a process which generates biogas, which has about 60% methane content. Biogas can be used for lighting, cooking and also for generating electricity and heat. The process of anaerobic digestion also generates a residue which can be used as soil conditioner or fertilizer in a farm to recover nutrients like nitrogen, phosphorus and potassium.</t>
  </si>
  <si>
    <t>Excreta and organic waste streams have a high calorific value and can be turned into a solid dry fuel for combustion in briquette or powder form. This can be used either for cooking in households and institutional kitchens as well as for industrial applications like kilns and boilers.</t>
  </si>
  <si>
    <t>Organic waste streams can can be treated using fly larvae composting, for example with the Black Soldier Fly, to produce valuable larvae and a residue. The larvae of the black soldier fly is 40% protein and 30% fat and can therefore make a protein-rich animal feed. The residue from the fly larvae composting contains nutrients and can be applied to a garden as soil conditioner or fertilizer.</t>
  </si>
  <si>
    <t>This is a process whereby a waste stream is composted to make soil conditioner or fertilizer for applying on farms. The compost generated is often rich in nutrients and also rich in organic matter content.</t>
  </si>
  <si>
    <r>
      <t xml:space="preserve">The worksheets in this model are locked in order to protect the formulae, with the exception of the cells where the user has to make input. The sheets can be </t>
    </r>
    <r>
      <rPr>
        <b/>
        <sz val="11"/>
        <color theme="1"/>
        <rFont val="Calibri"/>
        <family val="2"/>
        <scheme val="minor"/>
      </rPr>
      <t>unlocked without a password</t>
    </r>
    <r>
      <rPr>
        <sz val="11"/>
        <color theme="1"/>
        <rFont val="Calibri"/>
        <family val="2"/>
        <scheme val="minor"/>
      </rPr>
      <t xml:space="preserve"> in case the user would like to have a closer look at the formulas behind the tool.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</si>
</sst>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00000"/>
    <numFmt numFmtId="166" formatCode="_-* #,##0_-;\-* #,##0_-;_-* &quot;-&quot;??_-;_-@_-"/>
  </numFmts>
  <fonts count="17" x14ac:knownFonts="1">
    <font>
      <sz val="11"/>
      <color theme="1"/>
      <name val="Calibri"/>
      <family val="2"/>
      <scheme val="minor"/>
    </font>
    <font>
      <b/>
      <sz val="11"/>
      <color theme="1"/>
      <name val="Calibri"/>
      <family val="2"/>
      <scheme val="minor"/>
    </font>
    <font>
      <b/>
      <sz val="10"/>
      <name val="Arial"/>
      <family val="2"/>
    </font>
    <font>
      <sz val="11"/>
      <color theme="1"/>
      <name val="Calibri"/>
      <family val="2"/>
      <scheme val="minor"/>
    </font>
    <font>
      <sz val="11"/>
      <name val="Calibri"/>
      <family val="2"/>
      <scheme val="minor"/>
    </font>
    <font>
      <sz val="10"/>
      <name val="Calibri"/>
      <family val="2"/>
      <scheme val="minor"/>
    </font>
    <font>
      <b/>
      <sz val="10"/>
      <name val="Calibri"/>
      <family val="2"/>
      <scheme val="minor"/>
    </font>
    <font>
      <b/>
      <sz val="12"/>
      <color theme="1"/>
      <name val="Calibri"/>
      <family val="2"/>
      <scheme val="minor"/>
    </font>
    <font>
      <sz val="12"/>
      <color theme="1"/>
      <name val="Calibri"/>
      <family val="2"/>
      <scheme val="minor"/>
    </font>
    <font>
      <vertAlign val="subscript"/>
      <sz val="11"/>
      <color theme="1"/>
      <name val="Calibri"/>
      <family val="2"/>
      <scheme val="minor"/>
    </font>
    <font>
      <b/>
      <sz val="16"/>
      <color theme="1"/>
      <name val="Calibri"/>
      <family val="2"/>
      <scheme val="minor"/>
    </font>
    <font>
      <b/>
      <u/>
      <sz val="14"/>
      <color theme="1"/>
      <name val="Calibri"/>
      <family val="2"/>
      <scheme val="minor"/>
    </font>
    <font>
      <vertAlign val="superscript"/>
      <sz val="11"/>
      <color theme="1"/>
      <name val="Calibri"/>
      <family val="2"/>
      <scheme val="minor"/>
    </font>
    <font>
      <b/>
      <sz val="11"/>
      <name val="Calibri"/>
      <family val="2"/>
      <scheme val="minor"/>
    </font>
    <font>
      <sz val="11"/>
      <color rgb="FF000000"/>
      <name val="Calibri"/>
      <family val="2"/>
      <scheme val="minor"/>
    </font>
    <font>
      <sz val="10"/>
      <name val="Arial"/>
      <family val="2"/>
    </font>
    <font>
      <b/>
      <sz val="11"/>
      <name val="Arial"/>
      <family val="2"/>
    </font>
  </fonts>
  <fills count="9">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9" tint="0.79998168889431442"/>
        <bgColor indexed="64"/>
      </patternFill>
    </fill>
  </fills>
  <borders count="44">
    <border>
      <left/>
      <right/>
      <top/>
      <bottom/>
      <diagonal/>
    </border>
    <border>
      <left/>
      <right/>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diagonal/>
    </border>
    <border>
      <left/>
      <right/>
      <top style="thin">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216">
    <xf numFmtId="0" fontId="0" fillId="0" borderId="0" xfId="0"/>
    <xf numFmtId="0" fontId="0" fillId="0" borderId="0" xfId="0" applyProtection="1"/>
    <xf numFmtId="0" fontId="1" fillId="0" borderId="0" xfId="0" applyFont="1" applyAlignment="1" applyProtection="1">
      <alignment horizontal="left" vertical="top" wrapText="1"/>
    </xf>
    <xf numFmtId="0" fontId="0" fillId="0" borderId="0" xfId="0" applyFont="1" applyAlignment="1" applyProtection="1">
      <alignment horizontal="left" vertical="top" wrapText="1"/>
    </xf>
    <xf numFmtId="0" fontId="1" fillId="0" borderId="0" xfId="0" applyFont="1" applyAlignment="1" applyProtection="1">
      <alignment horizontal="left" vertical="top"/>
    </xf>
    <xf numFmtId="0" fontId="0" fillId="0" borderId="0" xfId="0" applyAlignment="1" applyProtection="1">
      <alignment horizontal="left" vertical="top"/>
    </xf>
    <xf numFmtId="0" fontId="0" fillId="0" borderId="0" xfId="0" applyNumberFormat="1" applyProtection="1"/>
    <xf numFmtId="0" fontId="0" fillId="0" borderId="0" xfId="0" applyFont="1" applyAlignment="1">
      <alignment vertical="top" wrapText="1"/>
    </xf>
    <xf numFmtId="0" fontId="0" fillId="0" borderId="0" xfId="0" applyFill="1" applyBorder="1" applyAlignment="1" applyProtection="1">
      <alignment horizontal="left" vertical="top"/>
      <protection locked="0"/>
    </xf>
    <xf numFmtId="43" fontId="0" fillId="0" borderId="0" xfId="1" applyFont="1" applyFill="1" applyBorder="1" applyAlignment="1" applyProtection="1">
      <alignment horizontal="left" vertical="top"/>
      <protection locked="0"/>
    </xf>
    <xf numFmtId="0" fontId="0" fillId="0" borderId="0" xfId="0" applyFill="1" applyAlignment="1" applyProtection="1">
      <alignment vertical="top"/>
    </xf>
    <xf numFmtId="0" fontId="0" fillId="0" borderId="0" xfId="0" applyFont="1" applyFill="1" applyBorder="1" applyAlignment="1" applyProtection="1">
      <alignment vertical="top"/>
    </xf>
    <xf numFmtId="0" fontId="0" fillId="0" borderId="0" xfId="0" applyAlignment="1" applyProtection="1">
      <alignment horizontal="left" vertical="top" wrapText="1"/>
    </xf>
    <xf numFmtId="0" fontId="0" fillId="0" borderId="0" xfId="0" applyAlignment="1" applyProtection="1">
      <alignment horizontal="left" vertical="top"/>
    </xf>
    <xf numFmtId="43" fontId="0" fillId="2" borderId="27" xfId="1" applyFont="1" applyFill="1" applyBorder="1" applyAlignment="1" applyProtection="1">
      <alignment horizontal="right" vertical="top"/>
      <protection locked="0"/>
    </xf>
    <xf numFmtId="0" fontId="0" fillId="3" borderId="8" xfId="0" applyFill="1" applyBorder="1" applyAlignment="1" applyProtection="1">
      <alignment horizontal="left" vertical="top"/>
      <protection locked="0"/>
    </xf>
    <xf numFmtId="0" fontId="0" fillId="3" borderId="24" xfId="0" applyFill="1" applyBorder="1" applyAlignment="1" applyProtection="1">
      <alignment horizontal="left" vertical="top"/>
      <protection locked="0"/>
    </xf>
    <xf numFmtId="0" fontId="0" fillId="3" borderId="14" xfId="0" applyFill="1" applyBorder="1" applyProtection="1">
      <protection locked="0"/>
    </xf>
    <xf numFmtId="0" fontId="0" fillId="3" borderId="14" xfId="0" applyFill="1" applyBorder="1" applyAlignment="1" applyProtection="1">
      <alignment vertical="center"/>
      <protection locked="0"/>
    </xf>
    <xf numFmtId="0" fontId="0" fillId="3" borderId="21" xfId="0" applyFill="1" applyBorder="1" applyAlignment="1" applyProtection="1">
      <alignment horizontal="left" vertical="top"/>
      <protection locked="0"/>
    </xf>
    <xf numFmtId="0" fontId="7" fillId="4" borderId="5" xfId="0" applyFont="1" applyFill="1" applyBorder="1" applyAlignment="1" applyProtection="1">
      <alignment horizontal="left" vertical="top"/>
    </xf>
    <xf numFmtId="0" fontId="7" fillId="4" borderId="6" xfId="0" applyFont="1" applyFill="1" applyBorder="1" applyAlignment="1" applyProtection="1">
      <alignment horizontal="left" vertical="top"/>
    </xf>
    <xf numFmtId="0" fontId="7" fillId="4" borderId="11" xfId="0" applyFont="1" applyFill="1" applyBorder="1" applyAlignment="1" applyProtection="1">
      <alignment vertical="top"/>
    </xf>
    <xf numFmtId="0" fontId="7" fillId="4" borderId="11" xfId="0" applyFont="1" applyFill="1" applyBorder="1" applyAlignment="1" applyProtection="1">
      <alignment vertical="top" wrapText="1"/>
    </xf>
    <xf numFmtId="0" fontId="0" fillId="3" borderId="8" xfId="0" applyFont="1" applyFill="1" applyBorder="1" applyAlignment="1" applyProtection="1">
      <alignment horizontal="left" vertical="top"/>
    </xf>
    <xf numFmtId="0" fontId="0" fillId="3" borderId="9" xfId="0" applyFill="1" applyBorder="1" applyAlignment="1" applyProtection="1">
      <alignment horizontal="left" vertical="top"/>
      <protection locked="0"/>
    </xf>
    <xf numFmtId="0" fontId="0" fillId="3" borderId="3" xfId="0" applyFont="1" applyFill="1" applyBorder="1" applyAlignment="1" applyProtection="1">
      <alignment vertical="top"/>
      <protection locked="0"/>
    </xf>
    <xf numFmtId="0" fontId="0" fillId="3" borderId="2" xfId="0" applyFont="1" applyFill="1" applyBorder="1" applyAlignment="1" applyProtection="1">
      <alignment vertical="top"/>
      <protection locked="0"/>
    </xf>
    <xf numFmtId="0" fontId="0" fillId="3" borderId="18" xfId="0" applyFont="1" applyFill="1" applyBorder="1" applyAlignment="1" applyProtection="1">
      <alignment vertical="top"/>
      <protection locked="0"/>
    </xf>
    <xf numFmtId="43" fontId="0" fillId="2" borderId="29" xfId="1" applyFont="1" applyFill="1" applyBorder="1" applyAlignment="1" applyProtection="1">
      <alignment horizontal="right" vertical="top"/>
      <protection locked="0"/>
    </xf>
    <xf numFmtId="0" fontId="14" fillId="3" borderId="7" xfId="0" applyFont="1" applyFill="1" applyBorder="1" applyAlignment="1" applyProtection="1">
      <alignment horizontal="left" vertical="top"/>
    </xf>
    <xf numFmtId="0" fontId="0" fillId="3" borderId="28" xfId="0" applyFont="1" applyFill="1" applyBorder="1" applyAlignment="1" applyProtection="1">
      <alignment horizontal="left" vertical="top"/>
    </xf>
    <xf numFmtId="0" fontId="4" fillId="3" borderId="7" xfId="0" applyFont="1" applyFill="1" applyBorder="1" applyAlignment="1" applyProtection="1">
      <alignment horizontal="left" vertical="top"/>
    </xf>
    <xf numFmtId="0" fontId="4" fillId="3" borderId="20" xfId="0" applyFont="1" applyFill="1" applyBorder="1" applyAlignment="1" applyProtection="1">
      <alignment horizontal="left" vertical="top"/>
    </xf>
    <xf numFmtId="0" fontId="0" fillId="3" borderId="22" xfId="0" applyFont="1" applyFill="1" applyBorder="1" applyProtection="1"/>
    <xf numFmtId="0" fontId="0" fillId="3" borderId="2" xfId="0" applyFill="1" applyBorder="1" applyAlignment="1" applyProtection="1">
      <alignment vertical="top"/>
    </xf>
    <xf numFmtId="0" fontId="0" fillId="3" borderId="18" xfId="0" applyFill="1" applyBorder="1" applyAlignment="1" applyProtection="1">
      <alignment vertical="top"/>
    </xf>
    <xf numFmtId="0" fontId="1" fillId="3" borderId="19" xfId="0" applyFont="1" applyFill="1" applyBorder="1" applyAlignment="1" applyProtection="1">
      <alignment vertical="top"/>
    </xf>
    <xf numFmtId="166" fontId="0" fillId="2" borderId="27" xfId="1" applyNumberFormat="1" applyFont="1" applyFill="1" applyBorder="1" applyAlignment="1" applyProtection="1">
      <alignment horizontal="right" vertical="top"/>
      <protection locked="0"/>
    </xf>
    <xf numFmtId="0" fontId="0" fillId="3" borderId="1" xfId="0" applyFill="1" applyBorder="1" applyAlignment="1" applyProtection="1">
      <alignment vertical="top"/>
    </xf>
    <xf numFmtId="166" fontId="0" fillId="2" borderId="30" xfId="1" applyNumberFormat="1" applyFont="1" applyFill="1" applyBorder="1" applyAlignment="1" applyProtection="1">
      <alignment horizontal="right" vertical="top"/>
      <protection locked="0"/>
    </xf>
    <xf numFmtId="0" fontId="1" fillId="4" borderId="31" xfId="0" applyFont="1" applyFill="1" applyBorder="1" applyAlignment="1" applyProtection="1">
      <alignment horizontal="left" vertical="top"/>
    </xf>
    <xf numFmtId="0" fontId="1" fillId="4" borderId="32" xfId="0" applyFont="1" applyFill="1" applyBorder="1" applyAlignment="1" applyProtection="1">
      <alignment horizontal="right" vertical="top"/>
    </xf>
    <xf numFmtId="0" fontId="1" fillId="4" borderId="33" xfId="0" applyFont="1" applyFill="1" applyBorder="1" applyAlignment="1" applyProtection="1">
      <alignment horizontal="right" vertical="top"/>
    </xf>
    <xf numFmtId="0" fontId="1" fillId="4" borderId="0" xfId="0" applyFont="1" applyFill="1" applyBorder="1" applyAlignment="1" applyProtection="1">
      <alignment horizontal="right" vertical="top"/>
    </xf>
    <xf numFmtId="0" fontId="0" fillId="3" borderId="0" xfId="0" applyFill="1" applyAlignment="1" applyProtection="1">
      <alignment vertical="top"/>
    </xf>
    <xf numFmtId="0" fontId="0" fillId="3" borderId="0" xfId="0" applyFill="1" applyBorder="1" applyAlignment="1" applyProtection="1">
      <alignment vertical="top"/>
    </xf>
    <xf numFmtId="0" fontId="1" fillId="3" borderId="0" xfId="0" applyFont="1" applyFill="1" applyAlignment="1" applyProtection="1">
      <alignment vertical="top"/>
    </xf>
    <xf numFmtId="0" fontId="1" fillId="4" borderId="0" xfId="0" applyFont="1" applyFill="1" applyBorder="1" applyAlignment="1" applyProtection="1">
      <alignment vertical="top"/>
    </xf>
    <xf numFmtId="0" fontId="0" fillId="3" borderId="0" xfId="0" applyFont="1" applyFill="1" applyAlignment="1" applyProtection="1">
      <alignment horizontal="right" vertical="top"/>
    </xf>
    <xf numFmtId="0" fontId="0" fillId="3" borderId="0" xfId="0" applyFont="1" applyFill="1" applyBorder="1" applyAlignment="1" applyProtection="1">
      <alignment vertical="top"/>
    </xf>
    <xf numFmtId="0" fontId="2" fillId="6" borderId="25" xfId="0" applyFont="1" applyFill="1" applyBorder="1" applyAlignment="1" applyProtection="1">
      <alignment horizontal="left" vertical="top"/>
    </xf>
    <xf numFmtId="0" fontId="2" fillId="6" borderId="34" xfId="0" applyFont="1" applyFill="1" applyBorder="1" applyAlignment="1" applyProtection="1">
      <alignment horizontal="left" vertical="top"/>
    </xf>
    <xf numFmtId="0" fontId="2" fillId="6" borderId="26" xfId="0" applyFont="1" applyFill="1" applyBorder="1" applyAlignment="1" applyProtection="1">
      <alignment horizontal="left" vertical="top"/>
    </xf>
    <xf numFmtId="0" fontId="2" fillId="5" borderId="25" xfId="0" applyFont="1" applyFill="1" applyBorder="1" applyAlignment="1" applyProtection="1">
      <alignment horizontal="left" vertical="top"/>
    </xf>
    <xf numFmtId="2" fontId="5" fillId="5" borderId="3" xfId="0" applyNumberFormat="1" applyFont="1" applyFill="1" applyBorder="1" applyAlignment="1" applyProtection="1">
      <alignment horizontal="right" vertical="top"/>
    </xf>
    <xf numFmtId="2" fontId="5" fillId="5" borderId="0" xfId="0" applyNumberFormat="1" applyFont="1" applyFill="1" applyBorder="1" applyAlignment="1" applyProtection="1">
      <alignment horizontal="right" vertical="top"/>
    </xf>
    <xf numFmtId="0" fontId="2" fillId="5" borderId="34" xfId="0" applyFont="1" applyFill="1" applyBorder="1" applyAlignment="1" applyProtection="1">
      <alignment horizontal="left" vertical="top"/>
    </xf>
    <xf numFmtId="2" fontId="5" fillId="5" borderId="1" xfId="0" applyNumberFormat="1" applyFont="1" applyFill="1" applyBorder="1" applyAlignment="1" applyProtection="1">
      <alignment horizontal="right" vertical="top"/>
    </xf>
    <xf numFmtId="0" fontId="2" fillId="5" borderId="35" xfId="0" applyFont="1" applyFill="1" applyBorder="1" applyAlignment="1" applyProtection="1">
      <alignment horizontal="left" vertical="top"/>
    </xf>
    <xf numFmtId="164" fontId="5" fillId="5" borderId="0" xfId="0" applyNumberFormat="1" applyFont="1" applyFill="1" applyBorder="1" applyAlignment="1" applyProtection="1">
      <alignment horizontal="right" vertical="top"/>
    </xf>
    <xf numFmtId="0" fontId="2" fillId="5" borderId="26" xfId="0" applyFont="1" applyFill="1" applyBorder="1" applyAlignment="1" applyProtection="1">
      <alignment horizontal="left" vertical="top"/>
    </xf>
    <xf numFmtId="2" fontId="5" fillId="5" borderId="2" xfId="0" applyNumberFormat="1" applyFont="1" applyFill="1" applyBorder="1" applyAlignment="1" applyProtection="1">
      <alignment horizontal="right" vertical="top"/>
    </xf>
    <xf numFmtId="10" fontId="5" fillId="5" borderId="2" xfId="2" applyNumberFormat="1" applyFont="1" applyFill="1" applyBorder="1" applyAlignment="1" applyProtection="1">
      <alignment horizontal="right" vertical="top"/>
    </xf>
    <xf numFmtId="10" fontId="5" fillId="5" borderId="1" xfId="2" applyNumberFormat="1" applyFont="1" applyFill="1" applyBorder="1" applyAlignment="1" applyProtection="1">
      <alignment horizontal="right" vertical="top"/>
    </xf>
    <xf numFmtId="0" fontId="2" fillId="5" borderId="23" xfId="0" applyFont="1" applyFill="1" applyBorder="1" applyAlignment="1" applyProtection="1">
      <alignment horizontal="left" vertical="top"/>
    </xf>
    <xf numFmtId="2" fontId="5" fillId="5" borderId="19" xfId="2" applyNumberFormat="1" applyFont="1" applyFill="1" applyBorder="1" applyAlignment="1" applyProtection="1">
      <alignment horizontal="right" vertical="top"/>
    </xf>
    <xf numFmtId="0" fontId="15" fillId="5" borderId="34" xfId="0" applyFont="1" applyFill="1" applyBorder="1" applyAlignment="1" applyProtection="1">
      <alignment horizontal="right" vertical="top"/>
    </xf>
    <xf numFmtId="0" fontId="15" fillId="5" borderId="35" xfId="0" applyFont="1" applyFill="1" applyBorder="1" applyAlignment="1" applyProtection="1">
      <alignment horizontal="right" vertical="top"/>
    </xf>
    <xf numFmtId="2" fontId="5" fillId="6" borderId="1" xfId="0" applyNumberFormat="1" applyFont="1" applyFill="1" applyBorder="1" applyAlignment="1" applyProtection="1">
      <alignment horizontal="right" vertical="top"/>
    </xf>
    <xf numFmtId="2" fontId="5" fillId="6" borderId="0" xfId="0" applyNumberFormat="1" applyFont="1" applyFill="1" applyBorder="1" applyAlignment="1" applyProtection="1">
      <alignment horizontal="right" vertical="top"/>
    </xf>
    <xf numFmtId="0" fontId="2" fillId="6" borderId="36" xfId="0" applyFont="1" applyFill="1" applyBorder="1" applyAlignment="1" applyProtection="1">
      <alignment horizontal="left" vertical="top"/>
    </xf>
    <xf numFmtId="2" fontId="5" fillId="6" borderId="3" xfId="0" applyNumberFormat="1" applyFont="1" applyFill="1" applyBorder="1" applyAlignment="1" applyProtection="1">
      <alignment horizontal="right" vertical="top"/>
    </xf>
    <xf numFmtId="2" fontId="5" fillId="6" borderId="37" xfId="0" applyNumberFormat="1" applyFont="1" applyFill="1" applyBorder="1" applyAlignment="1" applyProtection="1">
      <alignment horizontal="right" vertical="top"/>
    </xf>
    <xf numFmtId="2" fontId="5" fillId="6" borderId="12" xfId="0" applyNumberFormat="1" applyFont="1" applyFill="1" applyBorder="1" applyAlignment="1" applyProtection="1">
      <alignment horizontal="right" vertical="top"/>
    </xf>
    <xf numFmtId="2" fontId="5" fillId="6" borderId="13" xfId="0" applyNumberFormat="1" applyFont="1" applyFill="1" applyBorder="1" applyAlignment="1" applyProtection="1">
      <alignment horizontal="right" vertical="top"/>
    </xf>
    <xf numFmtId="2" fontId="5" fillId="6" borderId="19" xfId="0" applyNumberFormat="1" applyFont="1" applyFill="1" applyBorder="1" applyAlignment="1" applyProtection="1">
      <alignment horizontal="right" vertical="top"/>
    </xf>
    <xf numFmtId="2" fontId="5" fillId="6" borderId="22" xfId="0" applyNumberFormat="1" applyFont="1" applyFill="1" applyBorder="1" applyAlignment="1" applyProtection="1">
      <alignment horizontal="right" vertical="top"/>
    </xf>
    <xf numFmtId="2" fontId="5" fillId="5" borderId="37" xfId="0" applyNumberFormat="1" applyFont="1" applyFill="1" applyBorder="1" applyAlignment="1" applyProtection="1">
      <alignment horizontal="right" vertical="top"/>
    </xf>
    <xf numFmtId="2" fontId="5" fillId="5" borderId="12" xfId="0" applyNumberFormat="1" applyFont="1" applyFill="1" applyBorder="1" applyAlignment="1" applyProtection="1">
      <alignment horizontal="right" vertical="top"/>
    </xf>
    <xf numFmtId="2" fontId="5" fillId="5" borderId="13" xfId="0" applyNumberFormat="1" applyFont="1" applyFill="1" applyBorder="1" applyAlignment="1" applyProtection="1">
      <alignment horizontal="right" vertical="top"/>
    </xf>
    <xf numFmtId="2" fontId="5" fillId="5" borderId="24" xfId="0" applyNumberFormat="1" applyFont="1" applyFill="1" applyBorder="1" applyAlignment="1" applyProtection="1">
      <alignment horizontal="right" vertical="top"/>
    </xf>
    <xf numFmtId="10" fontId="5" fillId="5" borderId="24" xfId="2" applyNumberFormat="1" applyFont="1" applyFill="1" applyBorder="1" applyAlignment="1" applyProtection="1">
      <alignment horizontal="right" vertical="top"/>
    </xf>
    <xf numFmtId="10" fontId="5" fillId="5" borderId="13" xfId="2" applyNumberFormat="1" applyFont="1" applyFill="1" applyBorder="1" applyAlignment="1" applyProtection="1">
      <alignment horizontal="right" vertical="top"/>
    </xf>
    <xf numFmtId="164" fontId="5" fillId="5" borderId="19" xfId="0" applyNumberFormat="1" applyFont="1" applyFill="1" applyBorder="1" applyAlignment="1" applyProtection="1">
      <alignment horizontal="right" vertical="top"/>
    </xf>
    <xf numFmtId="2" fontId="5" fillId="5" borderId="22" xfId="2" applyNumberFormat="1" applyFont="1" applyFill="1" applyBorder="1" applyAlignment="1" applyProtection="1">
      <alignment horizontal="right" vertical="top"/>
    </xf>
    <xf numFmtId="2" fontId="5" fillId="5" borderId="14" xfId="0" applyNumberFormat="1" applyFont="1" applyFill="1" applyBorder="1" applyAlignment="1" applyProtection="1">
      <alignment horizontal="right" vertical="top"/>
    </xf>
    <xf numFmtId="2" fontId="5" fillId="5" borderId="11" xfId="0" applyNumberFormat="1" applyFont="1" applyFill="1" applyBorder="1" applyAlignment="1" applyProtection="1">
      <alignment horizontal="right" vertical="top"/>
    </xf>
    <xf numFmtId="164" fontId="5" fillId="5" borderId="37" xfId="0" applyNumberFormat="1" applyFont="1" applyFill="1" applyBorder="1" applyAlignment="1" applyProtection="1">
      <alignment horizontal="right" vertical="top"/>
    </xf>
    <xf numFmtId="2" fontId="5" fillId="5" borderId="38" xfId="0" applyNumberFormat="1" applyFont="1" applyFill="1" applyBorder="1" applyAlignment="1" applyProtection="1">
      <alignment horizontal="right" vertical="top"/>
    </xf>
    <xf numFmtId="10" fontId="5" fillId="5" borderId="38" xfId="2" applyNumberFormat="1" applyFont="1" applyFill="1" applyBorder="1" applyAlignment="1" applyProtection="1">
      <alignment horizontal="right" vertical="top"/>
    </xf>
    <xf numFmtId="10" fontId="5" fillId="5" borderId="39" xfId="2" applyNumberFormat="1" applyFont="1" applyFill="1" applyBorder="1" applyAlignment="1" applyProtection="1">
      <alignment horizontal="right" vertical="top"/>
    </xf>
    <xf numFmtId="2" fontId="5" fillId="5" borderId="39" xfId="0" applyNumberFormat="1" applyFont="1" applyFill="1" applyBorder="1" applyAlignment="1" applyProtection="1">
      <alignment horizontal="right" vertical="top"/>
    </xf>
    <xf numFmtId="2" fontId="5" fillId="5" borderId="15" xfId="2" applyNumberFormat="1" applyFont="1" applyFill="1" applyBorder="1" applyAlignment="1" applyProtection="1">
      <alignment horizontal="right" vertical="top"/>
    </xf>
    <xf numFmtId="0" fontId="2" fillId="7" borderId="25" xfId="0" applyFont="1" applyFill="1" applyBorder="1" applyAlignment="1" applyProtection="1">
      <alignment horizontal="left" vertical="top"/>
    </xf>
    <xf numFmtId="2" fontId="5" fillId="7" borderId="3" xfId="0" applyNumberFormat="1" applyFont="1" applyFill="1" applyBorder="1" applyAlignment="1" applyProtection="1">
      <alignment horizontal="right" vertical="top"/>
    </xf>
    <xf numFmtId="2" fontId="5" fillId="7" borderId="37" xfId="0" applyNumberFormat="1" applyFont="1" applyFill="1" applyBorder="1" applyAlignment="1" applyProtection="1">
      <alignment horizontal="right" vertical="top"/>
    </xf>
    <xf numFmtId="2" fontId="5" fillId="7" borderId="12" xfId="0" applyNumberFormat="1" applyFont="1" applyFill="1" applyBorder="1" applyAlignment="1" applyProtection="1">
      <alignment horizontal="right" vertical="top"/>
    </xf>
    <xf numFmtId="0" fontId="2" fillId="7" borderId="34" xfId="0" applyFont="1" applyFill="1" applyBorder="1" applyAlignment="1" applyProtection="1">
      <alignment horizontal="left" vertical="top"/>
    </xf>
    <xf numFmtId="2" fontId="5" fillId="7" borderId="1" xfId="0" applyNumberFormat="1" applyFont="1" applyFill="1" applyBorder="1" applyAlignment="1" applyProtection="1">
      <alignment horizontal="right" vertical="top"/>
    </xf>
    <xf numFmtId="2" fontId="5" fillId="7" borderId="0" xfId="0" applyNumberFormat="1" applyFont="1" applyFill="1" applyBorder="1" applyAlignment="1" applyProtection="1">
      <alignment horizontal="right" vertical="top"/>
    </xf>
    <xf numFmtId="2" fontId="5" fillId="7" borderId="13" xfId="0" applyNumberFormat="1" applyFont="1" applyFill="1" applyBorder="1" applyAlignment="1" applyProtection="1">
      <alignment horizontal="right" vertical="top"/>
    </xf>
    <xf numFmtId="0" fontId="2" fillId="7" borderId="26" xfId="0" applyFont="1" applyFill="1" applyBorder="1" applyAlignment="1" applyProtection="1">
      <alignment horizontal="left" vertical="top"/>
    </xf>
    <xf numFmtId="2" fontId="5" fillId="7" borderId="18" xfId="0" applyNumberFormat="1" applyFont="1" applyFill="1" applyBorder="1" applyAlignment="1" applyProtection="1">
      <alignment horizontal="right" vertical="top"/>
    </xf>
    <xf numFmtId="2" fontId="5" fillId="7" borderId="19" xfId="0" applyNumberFormat="1" applyFont="1" applyFill="1" applyBorder="1" applyAlignment="1" applyProtection="1">
      <alignment horizontal="right" vertical="top"/>
    </xf>
    <xf numFmtId="2" fontId="5" fillId="7" borderId="17" xfId="0" applyNumberFormat="1" applyFont="1" applyFill="1" applyBorder="1" applyAlignment="1" applyProtection="1">
      <alignment horizontal="right" vertical="top"/>
    </xf>
    <xf numFmtId="164" fontId="5" fillId="7" borderId="37" xfId="0" applyNumberFormat="1" applyFont="1" applyFill="1" applyBorder="1" applyAlignment="1" applyProtection="1">
      <alignment horizontal="right" vertical="top"/>
    </xf>
    <xf numFmtId="164" fontId="5" fillId="7" borderId="0" xfId="0" applyNumberFormat="1" applyFont="1" applyFill="1" applyBorder="1" applyAlignment="1" applyProtection="1">
      <alignment horizontal="right" vertical="top"/>
    </xf>
    <xf numFmtId="10" fontId="5" fillId="7" borderId="1" xfId="2" applyNumberFormat="1" applyFont="1" applyFill="1" applyBorder="1" applyAlignment="1" applyProtection="1">
      <alignment horizontal="right" vertical="top"/>
    </xf>
    <xf numFmtId="10" fontId="5" fillId="7" borderId="13" xfId="2" applyNumberFormat="1" applyFont="1" applyFill="1" applyBorder="1" applyAlignment="1" applyProtection="1">
      <alignment horizontal="right" vertical="top"/>
    </xf>
    <xf numFmtId="2" fontId="5" fillId="7" borderId="2" xfId="2" applyNumberFormat="1" applyFont="1" applyFill="1" applyBorder="1" applyAlignment="1" applyProtection="1">
      <alignment horizontal="right" vertical="top"/>
    </xf>
    <xf numFmtId="2" fontId="5" fillId="7" borderId="24" xfId="2" applyNumberFormat="1" applyFont="1" applyFill="1" applyBorder="1" applyAlignment="1" applyProtection="1">
      <alignment horizontal="right" vertical="top"/>
    </xf>
    <xf numFmtId="2" fontId="5" fillId="7" borderId="41" xfId="2" applyNumberFormat="1" applyFont="1" applyFill="1" applyBorder="1" applyAlignment="1" applyProtection="1">
      <alignment horizontal="right" vertical="top"/>
    </xf>
    <xf numFmtId="2" fontId="5" fillId="7" borderId="40" xfId="2" applyNumberFormat="1" applyFont="1" applyFill="1" applyBorder="1" applyAlignment="1" applyProtection="1">
      <alignment horizontal="right" vertical="top"/>
    </xf>
    <xf numFmtId="0" fontId="2" fillId="7" borderId="23" xfId="0" applyFont="1" applyFill="1" applyBorder="1" applyAlignment="1" applyProtection="1">
      <alignment horizontal="left" vertical="top"/>
    </xf>
    <xf numFmtId="2" fontId="5" fillId="7" borderId="33" xfId="2" applyNumberFormat="1" applyFont="1" applyFill="1" applyBorder="1" applyAlignment="1" applyProtection="1">
      <alignment horizontal="right" vertical="top"/>
    </xf>
    <xf numFmtId="164" fontId="5" fillId="7" borderId="33" xfId="0" applyNumberFormat="1" applyFont="1" applyFill="1" applyBorder="1" applyAlignment="1" applyProtection="1">
      <alignment horizontal="right" vertical="top"/>
    </xf>
    <xf numFmtId="2" fontId="5" fillId="7" borderId="32" xfId="2" applyNumberFormat="1" applyFont="1" applyFill="1" applyBorder="1" applyAlignment="1" applyProtection="1">
      <alignment horizontal="right" vertical="top"/>
    </xf>
    <xf numFmtId="0" fontId="0" fillId="0" borderId="0" xfId="0" applyAlignment="1" applyProtection="1">
      <alignment horizontal="left" vertical="top" wrapText="1"/>
    </xf>
    <xf numFmtId="0" fontId="11" fillId="0" borderId="0" xfId="0" applyFont="1" applyAlignment="1" applyProtection="1">
      <alignment horizontal="center" vertical="top"/>
    </xf>
    <xf numFmtId="0" fontId="2" fillId="5" borderId="16" xfId="0" applyFont="1" applyFill="1" applyBorder="1" applyAlignment="1" applyProtection="1">
      <alignment horizontal="center" vertical="top" wrapText="1"/>
    </xf>
    <xf numFmtId="0" fontId="2" fillId="5" borderId="10" xfId="0" applyFont="1" applyFill="1" applyBorder="1" applyAlignment="1" applyProtection="1">
      <alignment horizontal="center" vertical="top" wrapText="1"/>
    </xf>
    <xf numFmtId="0" fontId="2" fillId="5" borderId="15" xfId="0" applyFont="1" applyFill="1" applyBorder="1" applyAlignment="1" applyProtection="1">
      <alignment horizontal="center" vertical="top" wrapText="1"/>
    </xf>
    <xf numFmtId="0" fontId="2" fillId="7" borderId="16" xfId="0" applyFont="1" applyFill="1" applyBorder="1" applyAlignment="1" applyProtection="1">
      <alignment horizontal="center" vertical="top" wrapText="1"/>
    </xf>
    <xf numFmtId="0" fontId="2" fillId="7" borderId="10" xfId="0" applyFont="1" applyFill="1" applyBorder="1" applyAlignment="1" applyProtection="1">
      <alignment horizontal="center" vertical="top" wrapText="1"/>
    </xf>
    <xf numFmtId="0" fontId="2" fillId="7" borderId="15" xfId="0" applyFont="1" applyFill="1" applyBorder="1" applyAlignment="1" applyProtection="1">
      <alignment horizontal="center" vertical="top" wrapText="1"/>
    </xf>
    <xf numFmtId="2" fontId="5" fillId="8" borderId="3" xfId="0" applyNumberFormat="1" applyFont="1" applyFill="1" applyBorder="1" applyAlignment="1" applyProtection="1">
      <alignment horizontal="right" vertical="top"/>
    </xf>
    <xf numFmtId="2" fontId="5" fillId="8" borderId="37" xfId="0" applyNumberFormat="1" applyFont="1" applyFill="1" applyBorder="1" applyAlignment="1" applyProtection="1">
      <alignment horizontal="right" vertical="top"/>
    </xf>
    <xf numFmtId="2" fontId="5" fillId="8" borderId="12" xfId="0" applyNumberFormat="1" applyFont="1" applyFill="1" applyBorder="1" applyAlignment="1" applyProtection="1">
      <alignment horizontal="right" vertical="top"/>
    </xf>
    <xf numFmtId="2" fontId="5" fillId="8" borderId="1" xfId="0" applyNumberFormat="1" applyFont="1" applyFill="1" applyBorder="1" applyAlignment="1" applyProtection="1">
      <alignment horizontal="right" vertical="top"/>
    </xf>
    <xf numFmtId="164" fontId="5" fillId="8" borderId="0" xfId="0" applyNumberFormat="1" applyFont="1" applyFill="1" applyBorder="1" applyAlignment="1" applyProtection="1">
      <alignment horizontal="right" vertical="top"/>
    </xf>
    <xf numFmtId="2" fontId="5" fillId="8" borderId="13" xfId="0" applyNumberFormat="1" applyFont="1" applyFill="1" applyBorder="1" applyAlignment="1" applyProtection="1">
      <alignment horizontal="right" vertical="top"/>
    </xf>
    <xf numFmtId="10" fontId="5" fillId="8" borderId="1" xfId="2" applyNumberFormat="1" applyFont="1" applyFill="1" applyBorder="1" applyAlignment="1" applyProtection="1">
      <alignment horizontal="right" vertical="top"/>
    </xf>
    <xf numFmtId="10" fontId="5" fillId="8" borderId="0" xfId="2" applyNumberFormat="1" applyFont="1" applyFill="1" applyBorder="1" applyAlignment="1" applyProtection="1">
      <alignment horizontal="right" vertical="top"/>
    </xf>
    <xf numFmtId="10" fontId="5" fillId="8" borderId="13" xfId="2" applyNumberFormat="1" applyFont="1" applyFill="1" applyBorder="1" applyAlignment="1" applyProtection="1">
      <alignment horizontal="right" vertical="top"/>
    </xf>
    <xf numFmtId="2" fontId="5" fillId="8" borderId="2" xfId="0" applyNumberFormat="1" applyFont="1" applyFill="1" applyBorder="1" applyAlignment="1" applyProtection="1">
      <alignment horizontal="right" vertical="top"/>
    </xf>
    <xf numFmtId="2" fontId="5" fillId="8" borderId="0" xfId="0" applyNumberFormat="1" applyFont="1" applyFill="1" applyBorder="1" applyAlignment="1" applyProtection="1">
      <alignment horizontal="right" vertical="top"/>
    </xf>
    <xf numFmtId="2" fontId="5" fillId="8" borderId="24" xfId="0" applyNumberFormat="1" applyFont="1" applyFill="1" applyBorder="1" applyAlignment="1" applyProtection="1">
      <alignment horizontal="right" vertical="top"/>
    </xf>
    <xf numFmtId="2" fontId="5" fillId="8" borderId="18" xfId="0" applyNumberFormat="1" applyFont="1" applyFill="1" applyBorder="1" applyAlignment="1" applyProtection="1">
      <alignment horizontal="right" vertical="top"/>
    </xf>
    <xf numFmtId="2" fontId="5" fillId="8" borderId="19" xfId="0" applyNumberFormat="1" applyFont="1" applyFill="1" applyBorder="1" applyAlignment="1" applyProtection="1">
      <alignment horizontal="right" vertical="top"/>
    </xf>
    <xf numFmtId="2" fontId="5" fillId="8" borderId="17" xfId="0" applyNumberFormat="1" applyFont="1" applyFill="1" applyBorder="1" applyAlignment="1" applyProtection="1">
      <alignment horizontal="right" vertical="top"/>
    </xf>
    <xf numFmtId="0" fontId="2" fillId="8" borderId="25" xfId="0" applyFont="1" applyFill="1" applyBorder="1" applyAlignment="1" applyProtection="1">
      <alignment horizontal="left" vertical="top"/>
    </xf>
    <xf numFmtId="0" fontId="2" fillId="8" borderId="26" xfId="0" applyFont="1" applyFill="1" applyBorder="1" applyAlignment="1" applyProtection="1">
      <alignment horizontal="left" vertical="top"/>
    </xf>
    <xf numFmtId="0" fontId="16" fillId="6" borderId="16" xfId="0" applyFont="1" applyFill="1" applyBorder="1" applyAlignment="1" applyProtection="1">
      <alignment horizontal="center" vertical="top" wrapText="1"/>
    </xf>
    <xf numFmtId="0" fontId="16" fillId="6" borderId="10" xfId="0" applyFont="1" applyFill="1" applyBorder="1" applyAlignment="1" applyProtection="1">
      <alignment horizontal="center" vertical="top"/>
    </xf>
    <xf numFmtId="0" fontId="16" fillId="6" borderId="15" xfId="0" applyFont="1" applyFill="1" applyBorder="1" applyAlignment="1" applyProtection="1">
      <alignment horizontal="center" vertical="top"/>
    </xf>
    <xf numFmtId="0" fontId="2" fillId="8" borderId="16" xfId="0" applyFont="1" applyFill="1" applyBorder="1" applyAlignment="1" applyProtection="1">
      <alignment horizontal="center" vertical="top" wrapText="1"/>
    </xf>
    <xf numFmtId="0" fontId="2" fillId="8" borderId="10" xfId="0" applyFont="1" applyFill="1" applyBorder="1" applyAlignment="1" applyProtection="1">
      <alignment horizontal="center" vertical="top"/>
    </xf>
    <xf numFmtId="0" fontId="2" fillId="8" borderId="15" xfId="0" applyFont="1" applyFill="1" applyBorder="1" applyAlignment="1" applyProtection="1">
      <alignment horizontal="center" vertical="top"/>
    </xf>
    <xf numFmtId="2" fontId="0" fillId="0" borderId="0" xfId="0" applyNumberFormat="1" applyFill="1" applyBorder="1" applyProtection="1">
      <protection hidden="1"/>
    </xf>
    <xf numFmtId="2" fontId="1" fillId="0" borderId="0" xfId="0" applyNumberFormat="1" applyFont="1" applyFill="1" applyBorder="1" applyProtection="1">
      <protection hidden="1"/>
    </xf>
    <xf numFmtId="2" fontId="1" fillId="0" borderId="0" xfId="0" applyNumberFormat="1" applyFont="1" applyFill="1" applyBorder="1" applyAlignment="1" applyProtection="1">
      <protection hidden="1"/>
    </xf>
    <xf numFmtId="2" fontId="0" fillId="0" borderId="0" xfId="0" applyNumberFormat="1" applyFill="1" applyProtection="1">
      <protection hidden="1"/>
    </xf>
    <xf numFmtId="2" fontId="0" fillId="0" borderId="0" xfId="0" applyNumberFormat="1" applyFill="1" applyProtection="1"/>
    <xf numFmtId="2" fontId="0" fillId="0" borderId="0" xfId="0" applyNumberFormat="1" applyProtection="1"/>
    <xf numFmtId="2" fontId="1" fillId="0" borderId="4" xfId="0" applyNumberFormat="1" applyFont="1" applyFill="1" applyBorder="1" applyProtection="1">
      <protection hidden="1"/>
    </xf>
    <xf numFmtId="0" fontId="15" fillId="7" borderId="34" xfId="0" applyFont="1" applyFill="1" applyBorder="1" applyAlignment="1" applyProtection="1">
      <alignment horizontal="right" vertical="top"/>
    </xf>
    <xf numFmtId="0" fontId="15" fillId="7" borderId="36" xfId="0" applyFont="1" applyFill="1" applyBorder="1" applyAlignment="1" applyProtection="1">
      <alignment horizontal="right" vertical="top"/>
    </xf>
    <xf numFmtId="0" fontId="15" fillId="8" borderId="34" xfId="0" applyFont="1" applyFill="1" applyBorder="1" applyAlignment="1" applyProtection="1">
      <alignment horizontal="right" vertical="top"/>
    </xf>
    <xf numFmtId="0" fontId="15" fillId="8" borderId="26" xfId="0" applyFont="1" applyFill="1" applyBorder="1" applyAlignment="1" applyProtection="1">
      <alignment horizontal="right" vertical="top"/>
    </xf>
    <xf numFmtId="0" fontId="1" fillId="0" borderId="0" xfId="0" applyFont="1" applyAlignment="1" applyProtection="1">
      <alignment horizontal="center" vertical="top"/>
    </xf>
    <xf numFmtId="0" fontId="10" fillId="0" borderId="1" xfId="0" applyFont="1" applyBorder="1" applyAlignment="1" applyProtection="1">
      <alignment horizontal="center" vertical="top"/>
    </xf>
    <xf numFmtId="0" fontId="0" fillId="0" borderId="0" xfId="0" applyFont="1" applyAlignment="1" applyProtection="1">
      <alignment vertical="top"/>
      <protection locked="0"/>
    </xf>
    <xf numFmtId="0" fontId="1" fillId="0" borderId="0" xfId="0" applyFont="1" applyFill="1" applyBorder="1" applyAlignment="1" applyProtection="1">
      <alignment vertical="top"/>
      <protection locked="0"/>
    </xf>
    <xf numFmtId="0" fontId="1" fillId="0" borderId="0" xfId="0" applyFont="1" applyAlignment="1" applyProtection="1">
      <alignment vertical="top"/>
      <protection locked="0"/>
    </xf>
    <xf numFmtId="0" fontId="0" fillId="0" borderId="0" xfId="0" applyAlignment="1" applyProtection="1">
      <alignment vertical="top"/>
      <protection locked="0"/>
    </xf>
    <xf numFmtId="0" fontId="0" fillId="0" borderId="0" xfId="0" applyFont="1" applyFill="1" applyBorder="1" applyAlignment="1" applyProtection="1">
      <alignment vertical="top"/>
      <protection locked="0"/>
    </xf>
    <xf numFmtId="0" fontId="0" fillId="0" borderId="0" xfId="0" applyFont="1" applyFill="1" applyAlignment="1" applyProtection="1">
      <alignment vertical="top"/>
      <protection locked="0"/>
    </xf>
    <xf numFmtId="0" fontId="0" fillId="0" borderId="0" xfId="0" applyFont="1" applyFill="1" applyBorder="1" applyAlignment="1" applyProtection="1">
      <alignment horizontal="center" vertical="top"/>
      <protection locked="0"/>
    </xf>
    <xf numFmtId="0" fontId="0" fillId="0" borderId="0" xfId="0" applyFill="1" applyAlignment="1" applyProtection="1">
      <alignment vertical="top"/>
      <protection locked="0"/>
    </xf>
    <xf numFmtId="0" fontId="1" fillId="0" borderId="0" xfId="0" applyFont="1" applyFill="1" applyAlignment="1" applyProtection="1">
      <alignment vertical="top"/>
      <protection locked="0"/>
    </xf>
    <xf numFmtId="0" fontId="0" fillId="0" borderId="0" xfId="0" applyFill="1" applyProtection="1">
      <protection locked="0"/>
    </xf>
    <xf numFmtId="0" fontId="0" fillId="0" borderId="0" xfId="0" applyFont="1" applyFill="1" applyProtection="1">
      <protection locked="0"/>
    </xf>
    <xf numFmtId="2" fontId="5" fillId="0" borderId="0" xfId="0" applyNumberFormat="1" applyFont="1" applyFill="1" applyBorder="1" applyAlignment="1" applyProtection="1">
      <alignment horizontal="right" vertical="top"/>
      <protection locked="0"/>
    </xf>
    <xf numFmtId="0" fontId="0" fillId="0" borderId="0" xfId="0" applyFont="1" applyBorder="1" applyAlignment="1" applyProtection="1">
      <alignment horizontal="center"/>
      <protection locked="0"/>
    </xf>
    <xf numFmtId="0" fontId="11" fillId="0" borderId="0" xfId="0" applyFont="1" applyProtection="1">
      <protection locked="0"/>
    </xf>
    <xf numFmtId="0" fontId="0" fillId="0" borderId="0" xfId="0" applyFont="1" applyProtection="1">
      <protection locked="0"/>
    </xf>
    <xf numFmtId="0" fontId="0" fillId="0" borderId="0" xfId="0" applyProtection="1">
      <protection locked="0"/>
    </xf>
    <xf numFmtId="164" fontId="5" fillId="0" borderId="0" xfId="0" applyNumberFormat="1" applyFont="1" applyFill="1" applyBorder="1" applyAlignment="1" applyProtection="1">
      <alignment horizontal="right" vertical="top"/>
      <protection locked="0"/>
    </xf>
    <xf numFmtId="0" fontId="0" fillId="0" borderId="0" xfId="0" applyFont="1" applyFill="1" applyBorder="1" applyAlignment="1" applyProtection="1">
      <alignment horizontal="center"/>
      <protection locked="0"/>
    </xf>
    <xf numFmtId="0" fontId="4" fillId="0" borderId="0" xfId="0" applyFont="1" applyProtection="1">
      <protection locked="0"/>
    </xf>
    <xf numFmtId="0" fontId="1" fillId="0" borderId="0" xfId="0" applyFont="1" applyBorder="1" applyAlignment="1" applyProtection="1">
      <alignment horizontal="center"/>
      <protection locked="0"/>
    </xf>
    <xf numFmtId="0" fontId="4" fillId="0" borderId="0" xfId="0" applyFont="1" applyAlignment="1" applyProtection="1">
      <protection locked="0"/>
    </xf>
    <xf numFmtId="0" fontId="0" fillId="0" borderId="0" xfId="0" applyFont="1" applyBorder="1" applyProtection="1">
      <protection locked="0"/>
    </xf>
    <xf numFmtId="10" fontId="5" fillId="0" borderId="0" xfId="2" applyNumberFormat="1" applyFont="1" applyFill="1" applyBorder="1" applyAlignment="1" applyProtection="1">
      <alignment horizontal="right" vertical="top"/>
      <protection locked="0"/>
    </xf>
    <xf numFmtId="0" fontId="2" fillId="0" borderId="0" xfId="0" applyFont="1" applyBorder="1" applyAlignment="1" applyProtection="1">
      <alignment vertical="top"/>
      <protection locked="0"/>
    </xf>
    <xf numFmtId="0" fontId="2" fillId="0" borderId="0" xfId="0" applyFont="1" applyBorder="1" applyAlignment="1" applyProtection="1">
      <alignment horizontal="left" vertical="top"/>
      <protection locked="0"/>
    </xf>
    <xf numFmtId="0" fontId="0" fillId="0" borderId="0" xfId="0" applyBorder="1" applyProtection="1">
      <protection locked="0"/>
    </xf>
    <xf numFmtId="0" fontId="6" fillId="0" borderId="0" xfId="0" applyFont="1" applyBorder="1" applyAlignment="1" applyProtection="1">
      <alignment vertical="top"/>
      <protection locked="0"/>
    </xf>
    <xf numFmtId="0" fontId="6" fillId="0" borderId="0" xfId="0" applyFont="1" applyBorder="1" applyAlignment="1" applyProtection="1">
      <alignment horizontal="left" vertical="top"/>
      <protection locked="0"/>
    </xf>
    <xf numFmtId="0" fontId="0" fillId="0" borderId="0" xfId="0" applyFont="1" applyFill="1" applyBorder="1" applyProtection="1">
      <protection locked="0"/>
    </xf>
    <xf numFmtId="166" fontId="1" fillId="2" borderId="27" xfId="1" applyNumberFormat="1" applyFont="1" applyFill="1" applyBorder="1" applyAlignment="1" applyProtection="1">
      <alignment horizontal="right" vertical="top"/>
    </xf>
    <xf numFmtId="0" fontId="8" fillId="0" borderId="0" xfId="0" applyFont="1" applyFill="1" applyAlignment="1" applyProtection="1">
      <alignment horizontal="left" vertical="top"/>
      <protection locked="0"/>
    </xf>
    <xf numFmtId="0" fontId="0" fillId="3" borderId="8" xfId="0" applyFont="1" applyFill="1" applyBorder="1" applyAlignment="1" applyProtection="1">
      <alignment horizontal="left" vertical="top"/>
      <protection locked="0"/>
    </xf>
    <xf numFmtId="0" fontId="0" fillId="0" borderId="0" xfId="0" applyFill="1" applyAlignment="1" applyProtection="1">
      <alignment horizontal="left" vertical="top"/>
      <protection locked="0"/>
    </xf>
    <xf numFmtId="0" fontId="13" fillId="0" borderId="0" xfId="0" applyFont="1" applyFill="1" applyBorder="1" applyAlignment="1" applyProtection="1">
      <alignment horizontal="left" vertical="top"/>
      <protection locked="0"/>
    </xf>
    <xf numFmtId="0" fontId="1" fillId="0" borderId="0" xfId="0" applyFont="1" applyFill="1" applyBorder="1" applyProtection="1">
      <protection locked="0"/>
    </xf>
    <xf numFmtId="0" fontId="1" fillId="0" borderId="0" xfId="0" applyFont="1" applyFill="1" applyAlignment="1" applyProtection="1">
      <alignment horizontal="left" vertical="top"/>
      <protection locked="0"/>
    </xf>
    <xf numFmtId="0" fontId="1" fillId="0" borderId="0" xfId="0" applyFont="1" applyFill="1" applyBorder="1" applyAlignment="1" applyProtection="1">
      <alignment horizontal="left" vertical="top"/>
      <protection locked="0"/>
    </xf>
    <xf numFmtId="43" fontId="0" fillId="0" borderId="0" xfId="1" applyFont="1" applyFill="1" applyBorder="1" applyAlignment="1" applyProtection="1">
      <alignment horizontal="right" vertical="top"/>
      <protection locked="0"/>
    </xf>
    <xf numFmtId="0" fontId="0" fillId="3" borderId="11" xfId="0" applyFont="1" applyFill="1" applyBorder="1" applyAlignment="1" applyProtection="1">
      <alignment horizontal="left" vertical="top"/>
    </xf>
    <xf numFmtId="0" fontId="0" fillId="3" borderId="12" xfId="0" applyFont="1" applyFill="1" applyBorder="1" applyAlignment="1" applyProtection="1">
      <alignment vertical="top"/>
      <protection locked="0"/>
    </xf>
    <xf numFmtId="0" fontId="0" fillId="3" borderId="10" xfId="0" applyFont="1" applyFill="1" applyBorder="1" applyAlignment="1" applyProtection="1">
      <alignment horizontal="left" vertical="top"/>
    </xf>
    <xf numFmtId="0" fontId="0" fillId="3" borderId="24" xfId="0" applyFont="1" applyFill="1" applyBorder="1" applyAlignment="1" applyProtection="1">
      <alignment vertical="top"/>
      <protection locked="0"/>
    </xf>
    <xf numFmtId="0" fontId="0" fillId="3" borderId="38" xfId="0" applyFont="1" applyFill="1" applyBorder="1" applyAlignment="1" applyProtection="1">
      <alignment horizontal="left" vertical="top"/>
    </xf>
    <xf numFmtId="0" fontId="0" fillId="3" borderId="43" xfId="0" applyFont="1" applyFill="1" applyBorder="1" applyAlignment="1" applyProtection="1">
      <alignment horizontal="left" vertical="top"/>
    </xf>
    <xf numFmtId="0" fontId="0" fillId="3" borderId="17" xfId="0" applyFont="1" applyFill="1" applyBorder="1" applyAlignment="1" applyProtection="1">
      <alignment vertical="top"/>
      <protection locked="0"/>
    </xf>
    <xf numFmtId="0" fontId="0" fillId="0" borderId="0" xfId="0" applyAlignment="1" applyProtection="1">
      <alignment horizontal="left" vertical="top"/>
      <protection locked="0"/>
    </xf>
    <xf numFmtId="0" fontId="0" fillId="3" borderId="10" xfId="0" applyFont="1" applyFill="1" applyBorder="1" applyProtection="1"/>
    <xf numFmtId="0" fontId="0" fillId="3" borderId="7" xfId="0" applyFill="1" applyBorder="1" applyAlignment="1" applyProtection="1">
      <alignment vertical="center"/>
    </xf>
    <xf numFmtId="0" fontId="14" fillId="3" borderId="8" xfId="0" applyFont="1" applyFill="1" applyBorder="1" applyAlignment="1" applyProtection="1">
      <alignment vertical="center"/>
    </xf>
    <xf numFmtId="0" fontId="0" fillId="3" borderId="20" xfId="0" applyFill="1" applyBorder="1" applyAlignment="1" applyProtection="1">
      <alignment vertical="center"/>
    </xf>
    <xf numFmtId="0" fontId="14" fillId="3" borderId="21" xfId="0" applyFont="1" applyFill="1" applyBorder="1" applyAlignment="1" applyProtection="1">
      <alignment vertical="center"/>
    </xf>
    <xf numFmtId="0" fontId="1" fillId="4" borderId="16" xfId="0" applyFont="1" applyFill="1" applyBorder="1" applyAlignment="1" applyProtection="1">
      <alignment horizontal="left" vertical="top"/>
    </xf>
    <xf numFmtId="0" fontId="1" fillId="4" borderId="37" xfId="0" applyFont="1" applyFill="1" applyBorder="1" applyAlignment="1" applyProtection="1">
      <alignment vertical="top"/>
    </xf>
    <xf numFmtId="0" fontId="1" fillId="4" borderId="42" xfId="0" applyFont="1" applyFill="1" applyBorder="1" applyAlignment="1" applyProtection="1">
      <alignment vertical="top"/>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GB" sz="2000" b="1"/>
              <a:t>Potential revenues from Faecal Sludge</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28471386491536"/>
          <c:y val="0.13737037037037036"/>
          <c:w val="0.86794576442136873"/>
          <c:h val="0.66159842519685041"/>
        </c:manualLayout>
      </c:layout>
      <c:barChart>
        <c:barDir val="col"/>
        <c:grouping val="clustered"/>
        <c:varyColors val="0"/>
        <c:ser>
          <c:idx val="1"/>
          <c:order val="0"/>
          <c:tx>
            <c:strRef>
              <c:f>Graphs!$C$98</c:f>
              <c:strCache>
                <c:ptCount val="1"/>
                <c:pt idx="0">
                  <c:v>Typical value with bars indicating the minimum and maximum values possible</c:v>
                </c:pt>
              </c:strCache>
            </c:strRef>
          </c:tx>
          <c:spPr>
            <a:solidFill>
              <a:schemeClr val="accent2"/>
            </a:solidFill>
            <a:ln>
              <a:noFill/>
            </a:ln>
            <a:effectLst/>
          </c:spPr>
          <c:invertIfNegative val="0"/>
          <c:cat>
            <c:strRef>
              <c:f>Graphs!$B$99:$B$102</c:f>
              <c:strCache>
                <c:ptCount val="4"/>
                <c:pt idx="0">
                  <c:v>Anaerobic Digestion</c:v>
                </c:pt>
                <c:pt idx="1">
                  <c:v>Solid Fuel</c:v>
                </c:pt>
                <c:pt idx="2">
                  <c:v>BSF Processing</c:v>
                </c:pt>
                <c:pt idx="3">
                  <c:v>Composting</c:v>
                </c:pt>
              </c:strCache>
            </c:strRef>
          </c:cat>
          <c:val>
            <c:numRef>
              <c:f>Graphs!$C$99:$C$102</c:f>
              <c:numCache>
                <c:formatCode>0.00</c:formatCode>
                <c:ptCount val="4"/>
                <c:pt idx="0">
                  <c:v>0</c:v>
                </c:pt>
                <c:pt idx="1">
                  <c:v>0</c:v>
                </c:pt>
                <c:pt idx="2">
                  <c:v>0</c:v>
                </c:pt>
                <c:pt idx="3">
                  <c:v>0</c:v>
                </c:pt>
              </c:numCache>
            </c:numRef>
          </c:val>
          <c:extLst>
            <c:ext xmlns:c16="http://schemas.microsoft.com/office/drawing/2014/chart" uri="{C3380CC4-5D6E-409C-BE32-E72D297353CC}">
              <c16:uniqueId val="{00000000-FFF7-4961-A409-C6013D678A0B}"/>
            </c:ext>
          </c:extLst>
        </c:ser>
        <c:dLbls>
          <c:showLegendKey val="0"/>
          <c:showVal val="0"/>
          <c:showCatName val="0"/>
          <c:showSerName val="0"/>
          <c:showPercent val="0"/>
          <c:showBubbleSize val="0"/>
        </c:dLbls>
        <c:gapWidth val="219"/>
        <c:overlap val="-27"/>
        <c:axId val="145327616"/>
        <c:axId val="145350016"/>
      </c:barChart>
      <c:catAx>
        <c:axId val="145327616"/>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Resource Recovery Options</a:t>
                </a:r>
              </a:p>
            </c:rich>
          </c:tx>
          <c:layout>
            <c:manualLayout>
              <c:xMode val="edge"/>
              <c:yMode val="edge"/>
              <c:x val="0.36402902038991847"/>
              <c:y val="0.908537788742713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45350016"/>
        <c:crosses val="autoZero"/>
        <c:auto val="1"/>
        <c:lblAlgn val="ctr"/>
        <c:lblOffset val="100"/>
        <c:noMultiLvlLbl val="0"/>
      </c:catAx>
      <c:valAx>
        <c:axId val="145350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Revenue (US$)</a:t>
                </a:r>
              </a:p>
            </c:rich>
          </c:tx>
          <c:layout>
            <c:manualLayout>
              <c:xMode val="edge"/>
              <c:yMode val="edge"/>
              <c:x val="8.1001785028820654E-3"/>
              <c:y val="0.33283606439673452"/>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45327616"/>
        <c:crosses val="autoZero"/>
        <c:crossBetween val="between"/>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b="1"/>
              <a:t>Nutrient Content from Faecal</a:t>
            </a:r>
            <a:r>
              <a:rPr lang="en-GB" sz="2000" b="1" baseline="0"/>
              <a:t> </a:t>
            </a:r>
            <a:r>
              <a:rPr lang="en-GB" sz="2000" b="1"/>
              <a:t>Sludge</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864262054579422"/>
          <c:y val="9.0473593621449966E-2"/>
          <c:w val="0.87854806358812132"/>
          <c:h val="0.69022380024368801"/>
        </c:manualLayout>
      </c:layout>
      <c:barChart>
        <c:barDir val="col"/>
        <c:grouping val="clustered"/>
        <c:varyColors val="0"/>
        <c:ser>
          <c:idx val="1"/>
          <c:order val="0"/>
          <c:tx>
            <c:strRef>
              <c:f>Graphs!$C$106:$C$106</c:f>
              <c:strCache>
                <c:ptCount val="1"/>
                <c:pt idx="0">
                  <c:v>Nitrogen</c:v>
                </c:pt>
              </c:strCache>
            </c:strRef>
          </c:tx>
          <c:spPr>
            <a:solidFill>
              <a:schemeClr val="accent2"/>
            </a:solidFill>
            <a:ln>
              <a:noFill/>
            </a:ln>
            <a:effectLst/>
          </c:spPr>
          <c:invertIfNegative val="0"/>
          <c:cat>
            <c:strRef>
              <c:f>Graphs!$B$107:$B$110</c:f>
              <c:strCache>
                <c:ptCount val="4"/>
                <c:pt idx="0">
                  <c:v>Anaerobic Digestion</c:v>
                </c:pt>
                <c:pt idx="1">
                  <c:v>Solid Fuel</c:v>
                </c:pt>
                <c:pt idx="2">
                  <c:v>BSF Processing</c:v>
                </c:pt>
                <c:pt idx="3">
                  <c:v>Composting</c:v>
                </c:pt>
              </c:strCache>
            </c:strRef>
          </c:cat>
          <c:val>
            <c:numRef>
              <c:f>Graphs!$C$107:$C$110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0-0FA3-4266-A2F8-B83DE7D7FBE3}"/>
            </c:ext>
          </c:extLst>
        </c:ser>
        <c:ser>
          <c:idx val="3"/>
          <c:order val="1"/>
          <c:tx>
            <c:strRef>
              <c:f>Graphs!$D$106:$D$106</c:f>
              <c:strCache>
                <c:ptCount val="1"/>
                <c:pt idx="0">
                  <c:v>Phosphorus</c:v>
                </c:pt>
              </c:strCache>
            </c:strRef>
          </c:tx>
          <c:spPr>
            <a:solidFill>
              <a:schemeClr val="accent4"/>
            </a:solidFill>
            <a:ln>
              <a:noFill/>
            </a:ln>
            <a:effectLst/>
          </c:spPr>
          <c:invertIfNegative val="0"/>
          <c:cat>
            <c:strRef>
              <c:f>Graphs!$B$107:$B$110</c:f>
              <c:strCache>
                <c:ptCount val="4"/>
                <c:pt idx="0">
                  <c:v>Anaerobic Digestion</c:v>
                </c:pt>
                <c:pt idx="1">
                  <c:v>Solid Fuel</c:v>
                </c:pt>
                <c:pt idx="2">
                  <c:v>BSF Processing</c:v>
                </c:pt>
                <c:pt idx="3">
                  <c:v>Composting</c:v>
                </c:pt>
              </c:strCache>
            </c:strRef>
          </c:cat>
          <c:val>
            <c:numRef>
              <c:f>Graphs!$D$107:$D$110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1-0FA3-4266-A2F8-B83DE7D7FBE3}"/>
            </c:ext>
          </c:extLst>
        </c:ser>
        <c:ser>
          <c:idx val="5"/>
          <c:order val="2"/>
          <c:tx>
            <c:strRef>
              <c:f>Graphs!$E$106</c:f>
              <c:strCache>
                <c:ptCount val="1"/>
                <c:pt idx="0">
                  <c:v>Potassium</c:v>
                </c:pt>
              </c:strCache>
            </c:strRef>
          </c:tx>
          <c:spPr>
            <a:solidFill>
              <a:schemeClr val="accent6"/>
            </a:solidFill>
            <a:ln>
              <a:noFill/>
            </a:ln>
            <a:effectLst/>
          </c:spPr>
          <c:invertIfNegative val="0"/>
          <c:cat>
            <c:strRef>
              <c:f>Graphs!$B$107:$B$110</c:f>
              <c:strCache>
                <c:ptCount val="4"/>
                <c:pt idx="0">
                  <c:v>Anaerobic Digestion</c:v>
                </c:pt>
                <c:pt idx="1">
                  <c:v>Solid Fuel</c:v>
                </c:pt>
                <c:pt idx="2">
                  <c:v>BSF Processing</c:v>
                </c:pt>
                <c:pt idx="3">
                  <c:v>Composting</c:v>
                </c:pt>
              </c:strCache>
            </c:strRef>
          </c:cat>
          <c:val>
            <c:numRef>
              <c:f>Graphs!$E$107:$E$110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2-0FA3-4266-A2F8-B83DE7D7FBE3}"/>
            </c:ext>
          </c:extLst>
        </c:ser>
        <c:dLbls>
          <c:showLegendKey val="0"/>
          <c:showVal val="0"/>
          <c:showCatName val="0"/>
          <c:showSerName val="0"/>
          <c:showPercent val="0"/>
          <c:showBubbleSize val="0"/>
        </c:dLbls>
        <c:gapWidth val="219"/>
        <c:overlap val="-27"/>
        <c:axId val="210675968"/>
        <c:axId val="223085312"/>
      </c:barChart>
      <c:catAx>
        <c:axId val="210675968"/>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223085312"/>
        <c:crosses val="autoZero"/>
        <c:auto val="1"/>
        <c:lblAlgn val="ctr"/>
        <c:lblOffset val="100"/>
        <c:noMultiLvlLbl val="0"/>
      </c:catAx>
      <c:valAx>
        <c:axId val="223085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b="0" i="0" baseline="0">
                    <a:effectLst/>
                  </a:rPr>
                  <a:t>Mass  (tonnes)</a:t>
                </a:r>
                <a:endParaRPr lang="en-GB" sz="2000">
                  <a:effectLst/>
                </a:endParaRPr>
              </a:p>
            </c:rich>
          </c:tx>
          <c:layout>
            <c:manualLayout>
              <c:xMode val="edge"/>
              <c:yMode val="edge"/>
              <c:x val="9.3158660844250372E-3"/>
              <c:y val="0.30001888148495148"/>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210675968"/>
        <c:crosses val="autoZero"/>
        <c:crossBetween val="between"/>
      </c:valAx>
      <c:spPr>
        <a:noFill/>
        <a:ln>
          <a:noFill/>
        </a:ln>
        <a:effectLst/>
      </c:spPr>
    </c:plotArea>
    <c:legend>
      <c:legendPos val="b"/>
      <c:layout>
        <c:manualLayout>
          <c:xMode val="edge"/>
          <c:yMode val="edge"/>
          <c:x val="0.27359919311396119"/>
          <c:y val="0.16537222341356902"/>
          <c:w val="0.39923538378663365"/>
          <c:h val="6.6422689741022153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b="1"/>
              <a:t>Energy Content from Faecal Sludge</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0069445672026377E-2"/>
          <c:y val="0.12652282079584273"/>
          <c:w val="0.89091384701142529"/>
          <c:h val="0.70174446841324567"/>
        </c:manualLayout>
      </c:layout>
      <c:barChart>
        <c:barDir val="col"/>
        <c:grouping val="clustered"/>
        <c:varyColors val="0"/>
        <c:ser>
          <c:idx val="1"/>
          <c:order val="0"/>
          <c:tx>
            <c:strRef>
              <c:f>Graphs!$C$114</c:f>
              <c:strCache>
                <c:ptCount val="1"/>
                <c:pt idx="0">
                  <c:v>Typical value with bars indicating the minimum and maximum values possible</c:v>
                </c:pt>
              </c:strCache>
            </c:strRef>
          </c:tx>
          <c:spPr>
            <a:solidFill>
              <a:schemeClr val="accent2"/>
            </a:solidFill>
            <a:ln>
              <a:noFill/>
            </a:ln>
            <a:effectLst/>
          </c:spPr>
          <c:invertIfNegative val="0"/>
          <c:cat>
            <c:strRef>
              <c:f>Graphs!$B$115:$B$118</c:f>
              <c:strCache>
                <c:ptCount val="4"/>
                <c:pt idx="0">
                  <c:v>Anaerobic Digestion</c:v>
                </c:pt>
                <c:pt idx="1">
                  <c:v>Solid Fuel</c:v>
                </c:pt>
                <c:pt idx="2">
                  <c:v>BSF Processing</c:v>
                </c:pt>
                <c:pt idx="3">
                  <c:v>Composting</c:v>
                </c:pt>
              </c:strCache>
            </c:strRef>
          </c:cat>
          <c:val>
            <c:numRef>
              <c:f>Graphs!$C$115:$C$118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B376-4FB7-83B5-6D865B7C84F0}"/>
            </c:ext>
          </c:extLst>
        </c:ser>
        <c:dLbls>
          <c:showLegendKey val="0"/>
          <c:showVal val="0"/>
          <c:showCatName val="0"/>
          <c:showSerName val="0"/>
          <c:showPercent val="0"/>
          <c:showBubbleSize val="0"/>
        </c:dLbls>
        <c:gapWidth val="219"/>
        <c:overlap val="-27"/>
        <c:axId val="243480832"/>
        <c:axId val="128713472"/>
      </c:barChart>
      <c:catAx>
        <c:axId val="243480832"/>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layout>
            <c:manualLayout>
              <c:xMode val="edge"/>
              <c:yMode val="edge"/>
              <c:x val="0.38256376080998494"/>
              <c:y val="0.9238317723405490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8713472"/>
        <c:crosses val="autoZero"/>
        <c:auto val="1"/>
        <c:lblAlgn val="ctr"/>
        <c:lblOffset val="100"/>
        <c:noMultiLvlLbl val="0"/>
      </c:catAx>
      <c:valAx>
        <c:axId val="128713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MJ</a:t>
                </a:r>
              </a:p>
            </c:rich>
          </c:tx>
          <c:layout>
            <c:manualLayout>
              <c:xMode val="edge"/>
              <c:yMode val="edge"/>
              <c:x val="2.4066729431177674E-3"/>
              <c:y val="0.29858282002310665"/>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243480832"/>
        <c:crosses val="autoZero"/>
        <c:crossBetween val="between"/>
        <c:dispUnits>
          <c:builtInUnit val="thousands"/>
          <c:dispUnitsLbl>
            <c:layout>
              <c:manualLayout>
                <c:xMode val="edge"/>
                <c:yMode val="edge"/>
                <c:x val="3.2847497868434342E-3"/>
                <c:y val="0.38409244898571276"/>
              </c:manualLayout>
            </c:layout>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Thousand</a:t>
                  </a:r>
                </a:p>
              </c:rich>
            </c:tx>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GB" sz="2000" b="1" i="0" u="none" strike="noStrike" baseline="0">
                <a:effectLst/>
              </a:rPr>
              <a:t>Potential revenues </a:t>
            </a:r>
            <a:r>
              <a:rPr lang="en-GB" sz="2000" b="1"/>
              <a:t>from</a:t>
            </a:r>
            <a:r>
              <a:rPr lang="en-GB" sz="2000" b="1" baseline="0"/>
              <a:t> Sewage Sludge</a:t>
            </a:r>
            <a:endParaRPr lang="en-GB"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021956306484828"/>
          <c:y val="8.9782962734546501E-2"/>
          <c:w val="0.88792859949556746"/>
          <c:h val="0.70427894196413454"/>
        </c:manualLayout>
      </c:layout>
      <c:barChart>
        <c:barDir val="col"/>
        <c:grouping val="clustered"/>
        <c:varyColors val="0"/>
        <c:ser>
          <c:idx val="1"/>
          <c:order val="0"/>
          <c:tx>
            <c:strRef>
              <c:f>Graphs!$O$98</c:f>
              <c:strCache>
                <c:ptCount val="1"/>
                <c:pt idx="0">
                  <c:v>Typical value with bars indicating the minimum and maximum values possible</c:v>
                </c:pt>
              </c:strCache>
            </c:strRef>
          </c:tx>
          <c:spPr>
            <a:solidFill>
              <a:schemeClr val="accent2"/>
            </a:solidFill>
            <a:ln>
              <a:noFill/>
            </a:ln>
            <a:effectLst/>
          </c:spPr>
          <c:invertIfNegative val="0"/>
          <c:cat>
            <c:strRef>
              <c:f>Graphs!$N$99:$N$102</c:f>
              <c:strCache>
                <c:ptCount val="4"/>
                <c:pt idx="0">
                  <c:v>Anaerobic Digestion</c:v>
                </c:pt>
                <c:pt idx="1">
                  <c:v>Solid Fuel</c:v>
                </c:pt>
                <c:pt idx="2">
                  <c:v>BSF Processing</c:v>
                </c:pt>
                <c:pt idx="3">
                  <c:v>Composting</c:v>
                </c:pt>
              </c:strCache>
            </c:strRef>
          </c:cat>
          <c:val>
            <c:numRef>
              <c:f>Graphs!$O$99:$O$102</c:f>
              <c:numCache>
                <c:formatCode>0.00</c:formatCode>
                <c:ptCount val="4"/>
                <c:pt idx="0">
                  <c:v>0</c:v>
                </c:pt>
                <c:pt idx="1">
                  <c:v>0</c:v>
                </c:pt>
                <c:pt idx="2">
                  <c:v>0</c:v>
                </c:pt>
                <c:pt idx="3">
                  <c:v>0</c:v>
                </c:pt>
              </c:numCache>
            </c:numRef>
          </c:val>
          <c:extLst>
            <c:ext xmlns:c16="http://schemas.microsoft.com/office/drawing/2014/chart" uri="{C3380CC4-5D6E-409C-BE32-E72D297353CC}">
              <c16:uniqueId val="{00000000-FF1D-449B-9B41-DE45E29DC755}"/>
            </c:ext>
          </c:extLst>
        </c:ser>
        <c:dLbls>
          <c:showLegendKey val="0"/>
          <c:showVal val="0"/>
          <c:showCatName val="0"/>
          <c:showSerName val="0"/>
          <c:showPercent val="0"/>
          <c:showBubbleSize val="0"/>
        </c:dLbls>
        <c:gapWidth val="219"/>
        <c:overlap val="-27"/>
        <c:axId val="128726912"/>
        <c:axId val="128737280"/>
      </c:barChart>
      <c:catAx>
        <c:axId val="128726912"/>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layout>
            <c:manualLayout>
              <c:xMode val="edge"/>
              <c:yMode val="edge"/>
              <c:x val="0.44025415054499434"/>
              <c:y val="0.89597664899458751"/>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8737280"/>
        <c:crosses val="autoZero"/>
        <c:auto val="1"/>
        <c:lblAlgn val="ctr"/>
        <c:lblOffset val="100"/>
        <c:noMultiLvlLbl val="0"/>
      </c:catAx>
      <c:valAx>
        <c:axId val="128737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b="0" i="0" baseline="0">
                    <a:effectLst/>
                  </a:rPr>
                  <a:t>Revenue (US$)</a:t>
                </a:r>
                <a:endParaRPr lang="en-GB" sz="2000">
                  <a:effectLst/>
                </a:endParaRPr>
              </a:p>
            </c:rich>
          </c:tx>
          <c:layout>
            <c:manualLayout>
              <c:xMode val="edge"/>
              <c:yMode val="edge"/>
              <c:x val="9.6328590680656544E-3"/>
              <c:y val="0.38335913615192746"/>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8726912"/>
        <c:crosses val="autoZero"/>
        <c:crossBetween val="between"/>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b="1"/>
              <a:t>Nutrient Content from Sewage Sludge</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3932078324945"/>
          <c:y val="0.10745258857378863"/>
          <c:w val="0.87581788201300914"/>
          <c:h val="0.65505486596454177"/>
        </c:manualLayout>
      </c:layout>
      <c:barChart>
        <c:barDir val="col"/>
        <c:grouping val="clustered"/>
        <c:varyColors val="0"/>
        <c:ser>
          <c:idx val="1"/>
          <c:order val="0"/>
          <c:tx>
            <c:strRef>
              <c:f>Graphs!$O$106</c:f>
              <c:strCache>
                <c:ptCount val="1"/>
                <c:pt idx="0">
                  <c:v>Nitrogen</c:v>
                </c:pt>
              </c:strCache>
            </c:strRef>
          </c:tx>
          <c:spPr>
            <a:solidFill>
              <a:schemeClr val="accent2"/>
            </a:solidFill>
            <a:ln>
              <a:noFill/>
            </a:ln>
            <a:effectLst/>
          </c:spPr>
          <c:invertIfNegative val="0"/>
          <c:cat>
            <c:strRef>
              <c:f>Graphs!$N$107:$N$110</c:f>
              <c:strCache>
                <c:ptCount val="4"/>
                <c:pt idx="0">
                  <c:v>Anaerobic Digestion</c:v>
                </c:pt>
                <c:pt idx="1">
                  <c:v>Solid Fuel</c:v>
                </c:pt>
                <c:pt idx="2">
                  <c:v>BSF Processing</c:v>
                </c:pt>
                <c:pt idx="3">
                  <c:v>Composting</c:v>
                </c:pt>
              </c:strCache>
            </c:strRef>
          </c:cat>
          <c:val>
            <c:numRef>
              <c:f>Graphs!$O$107:$O$110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0-7B77-4F64-8983-6E15A7A641AC}"/>
            </c:ext>
          </c:extLst>
        </c:ser>
        <c:ser>
          <c:idx val="3"/>
          <c:order val="1"/>
          <c:tx>
            <c:strRef>
              <c:f>Graphs!$P$106</c:f>
              <c:strCache>
                <c:ptCount val="1"/>
                <c:pt idx="0">
                  <c:v>Phosphorus</c:v>
                </c:pt>
              </c:strCache>
            </c:strRef>
          </c:tx>
          <c:spPr>
            <a:solidFill>
              <a:schemeClr val="accent4"/>
            </a:solidFill>
            <a:ln>
              <a:noFill/>
            </a:ln>
            <a:effectLst/>
          </c:spPr>
          <c:invertIfNegative val="0"/>
          <c:cat>
            <c:strRef>
              <c:f>Graphs!$N$107:$N$110</c:f>
              <c:strCache>
                <c:ptCount val="4"/>
                <c:pt idx="0">
                  <c:v>Anaerobic Digestion</c:v>
                </c:pt>
                <c:pt idx="1">
                  <c:v>Solid Fuel</c:v>
                </c:pt>
                <c:pt idx="2">
                  <c:v>BSF Processing</c:v>
                </c:pt>
                <c:pt idx="3">
                  <c:v>Composting</c:v>
                </c:pt>
              </c:strCache>
            </c:strRef>
          </c:cat>
          <c:val>
            <c:numRef>
              <c:f>Graphs!$P$107:$P$110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1-7B77-4F64-8983-6E15A7A641AC}"/>
            </c:ext>
          </c:extLst>
        </c:ser>
        <c:ser>
          <c:idx val="5"/>
          <c:order val="2"/>
          <c:tx>
            <c:strRef>
              <c:f>Graphs!$Q$106</c:f>
              <c:strCache>
                <c:ptCount val="1"/>
                <c:pt idx="0">
                  <c:v>Potassium</c:v>
                </c:pt>
              </c:strCache>
            </c:strRef>
          </c:tx>
          <c:spPr>
            <a:solidFill>
              <a:schemeClr val="accent6"/>
            </a:solidFill>
            <a:ln>
              <a:noFill/>
            </a:ln>
            <a:effectLst/>
          </c:spPr>
          <c:invertIfNegative val="0"/>
          <c:cat>
            <c:strRef>
              <c:f>Graphs!$N$107:$N$110</c:f>
              <c:strCache>
                <c:ptCount val="4"/>
                <c:pt idx="0">
                  <c:v>Anaerobic Digestion</c:v>
                </c:pt>
                <c:pt idx="1">
                  <c:v>Solid Fuel</c:v>
                </c:pt>
                <c:pt idx="2">
                  <c:v>BSF Processing</c:v>
                </c:pt>
                <c:pt idx="3">
                  <c:v>Composting</c:v>
                </c:pt>
              </c:strCache>
            </c:strRef>
          </c:cat>
          <c:val>
            <c:numRef>
              <c:f>Graphs!$Q$107:$Q$110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2-7B77-4F64-8983-6E15A7A641AC}"/>
            </c:ext>
          </c:extLst>
        </c:ser>
        <c:dLbls>
          <c:showLegendKey val="0"/>
          <c:showVal val="0"/>
          <c:showCatName val="0"/>
          <c:showSerName val="0"/>
          <c:showPercent val="0"/>
          <c:showBubbleSize val="0"/>
        </c:dLbls>
        <c:gapWidth val="219"/>
        <c:overlap val="-27"/>
        <c:axId val="128756736"/>
        <c:axId val="128775296"/>
      </c:barChart>
      <c:catAx>
        <c:axId val="128756736"/>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8775296"/>
        <c:crosses val="autoZero"/>
        <c:auto val="1"/>
        <c:lblAlgn val="ctr"/>
        <c:lblOffset val="100"/>
        <c:noMultiLvlLbl val="0"/>
      </c:catAx>
      <c:valAx>
        <c:axId val="128775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b="0" i="0" baseline="0">
                    <a:effectLst/>
                  </a:rPr>
                  <a:t>Mass  (tonnes)</a:t>
                </a:r>
                <a:endParaRPr lang="en-GB" sz="2000">
                  <a:effectLst/>
                </a:endParaRPr>
              </a:p>
            </c:rich>
          </c:tx>
          <c:layout>
            <c:manualLayout>
              <c:xMode val="edge"/>
              <c:yMode val="edge"/>
              <c:x val="1.8219224784221593E-2"/>
              <c:y val="0.32839057525132648"/>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00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8756736"/>
        <c:crosses val="autoZero"/>
        <c:crossBetween val="between"/>
      </c:valAx>
      <c:spPr>
        <a:noFill/>
        <a:ln>
          <a:noFill/>
        </a:ln>
        <a:effectLst/>
      </c:spPr>
    </c:plotArea>
    <c:legend>
      <c:legendPos val="b"/>
      <c:layout>
        <c:manualLayout>
          <c:xMode val="edge"/>
          <c:yMode val="edge"/>
          <c:x val="0.33497498227962641"/>
          <c:y val="0.2339160543524661"/>
          <c:w val="0.3687727253362848"/>
          <c:h val="6.6083814413913464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b="1"/>
              <a:t>Energy Content from Sewage Sludge</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455365110744657E-2"/>
          <c:y val="8.3811663779984169E-2"/>
          <c:w val="0.90075178888612073"/>
          <c:h val="0.75055013383709757"/>
        </c:manualLayout>
      </c:layout>
      <c:barChart>
        <c:barDir val="col"/>
        <c:grouping val="clustered"/>
        <c:varyColors val="0"/>
        <c:ser>
          <c:idx val="1"/>
          <c:order val="0"/>
          <c:tx>
            <c:strRef>
              <c:f>Graphs!$O$114</c:f>
              <c:strCache>
                <c:ptCount val="1"/>
                <c:pt idx="0">
                  <c:v>Typical value with bars indicating the minimum and maximum values possible</c:v>
                </c:pt>
              </c:strCache>
            </c:strRef>
          </c:tx>
          <c:spPr>
            <a:solidFill>
              <a:schemeClr val="accent2"/>
            </a:solidFill>
            <a:ln>
              <a:noFill/>
            </a:ln>
            <a:effectLst/>
          </c:spPr>
          <c:invertIfNegative val="0"/>
          <c:cat>
            <c:strRef>
              <c:f>Graphs!$N$115:$N$118</c:f>
              <c:strCache>
                <c:ptCount val="4"/>
                <c:pt idx="0">
                  <c:v>Anaerobic Digestion</c:v>
                </c:pt>
                <c:pt idx="1">
                  <c:v>Solid Fuel</c:v>
                </c:pt>
                <c:pt idx="2">
                  <c:v>BSF Processing</c:v>
                </c:pt>
                <c:pt idx="3">
                  <c:v>Composting</c:v>
                </c:pt>
              </c:strCache>
            </c:strRef>
          </c:cat>
          <c:val>
            <c:numRef>
              <c:f>Graphs!$O$115:$O$118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A556-455C-9DD6-C4E4F651EA38}"/>
            </c:ext>
          </c:extLst>
        </c:ser>
        <c:dLbls>
          <c:showLegendKey val="0"/>
          <c:showVal val="0"/>
          <c:showCatName val="0"/>
          <c:showSerName val="0"/>
          <c:showPercent val="0"/>
          <c:showBubbleSize val="0"/>
        </c:dLbls>
        <c:gapWidth val="219"/>
        <c:overlap val="-27"/>
        <c:axId val="129440000"/>
        <c:axId val="129446272"/>
      </c:barChart>
      <c:catAx>
        <c:axId val="129440000"/>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46272"/>
        <c:crosses val="autoZero"/>
        <c:auto val="1"/>
        <c:lblAlgn val="ctr"/>
        <c:lblOffset val="100"/>
        <c:noMultiLvlLbl val="0"/>
      </c:catAx>
      <c:valAx>
        <c:axId val="129446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MJ</a:t>
                </a:r>
              </a:p>
            </c:rich>
          </c:tx>
          <c:layout>
            <c:manualLayout>
              <c:xMode val="edge"/>
              <c:yMode val="edge"/>
              <c:x val="7.7556668457080796E-3"/>
              <c:y val="0.34081327987995685"/>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40000"/>
        <c:crosses val="autoZero"/>
        <c:crossBetween val="between"/>
        <c:dispUnits>
          <c:builtInUnit val="thousands"/>
          <c:dispUnitsLbl>
            <c:layout>
              <c:manualLayout>
                <c:xMode val="edge"/>
                <c:yMode val="edge"/>
                <c:x val="8.8919882360877171E-3"/>
                <c:y val="0.4352545802591416"/>
              </c:manualLayout>
            </c:layout>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Thousand</a:t>
                  </a:r>
                </a:p>
              </c:rich>
            </c:tx>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GB" sz="2000" b="1"/>
              <a:t>Potential revenues from Organic MSW</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86199734431604"/>
          <c:y val="0.15699470899470899"/>
          <c:w val="0.85420601395100892"/>
          <c:h val="0.64798566845810945"/>
        </c:manualLayout>
      </c:layout>
      <c:barChart>
        <c:barDir val="col"/>
        <c:grouping val="clustered"/>
        <c:varyColors val="0"/>
        <c:ser>
          <c:idx val="1"/>
          <c:order val="0"/>
          <c:tx>
            <c:strRef>
              <c:f>Graphs!$AA$98</c:f>
              <c:strCache>
                <c:ptCount val="1"/>
                <c:pt idx="0">
                  <c:v>Typical value with bars indicating the minimum and maximum values possible</c:v>
                </c:pt>
              </c:strCache>
            </c:strRef>
          </c:tx>
          <c:spPr>
            <a:solidFill>
              <a:schemeClr val="accent2"/>
            </a:solidFill>
            <a:ln>
              <a:noFill/>
            </a:ln>
            <a:effectLst/>
          </c:spPr>
          <c:invertIfNegative val="0"/>
          <c:cat>
            <c:strRef>
              <c:f>Graphs!$Z$99:$Z$102</c:f>
              <c:strCache>
                <c:ptCount val="4"/>
                <c:pt idx="0">
                  <c:v>Anaerobic Digestion</c:v>
                </c:pt>
                <c:pt idx="1">
                  <c:v>Solid Fuel</c:v>
                </c:pt>
                <c:pt idx="2">
                  <c:v>BSF Processing</c:v>
                </c:pt>
                <c:pt idx="3">
                  <c:v>Composting</c:v>
                </c:pt>
              </c:strCache>
            </c:strRef>
          </c:cat>
          <c:val>
            <c:numRef>
              <c:f>Graphs!$AA$99:$AA$102</c:f>
              <c:numCache>
                <c:formatCode>0.00</c:formatCode>
                <c:ptCount val="4"/>
                <c:pt idx="0">
                  <c:v>0</c:v>
                </c:pt>
                <c:pt idx="1">
                  <c:v>0</c:v>
                </c:pt>
                <c:pt idx="2">
                  <c:v>0</c:v>
                </c:pt>
                <c:pt idx="3">
                  <c:v>0</c:v>
                </c:pt>
              </c:numCache>
            </c:numRef>
          </c:val>
          <c:extLst>
            <c:ext xmlns:c16="http://schemas.microsoft.com/office/drawing/2014/chart" uri="{C3380CC4-5D6E-409C-BE32-E72D297353CC}">
              <c16:uniqueId val="{00000000-F74C-434E-B9BD-89FD590997E3}"/>
            </c:ext>
          </c:extLst>
        </c:ser>
        <c:dLbls>
          <c:showLegendKey val="0"/>
          <c:showVal val="0"/>
          <c:showCatName val="0"/>
          <c:showSerName val="0"/>
          <c:showPercent val="0"/>
          <c:showBubbleSize val="0"/>
        </c:dLbls>
        <c:gapWidth val="219"/>
        <c:overlap val="-27"/>
        <c:axId val="129459712"/>
        <c:axId val="129461632"/>
      </c:barChart>
      <c:catAx>
        <c:axId val="129459712"/>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GB" sz="1400"/>
                  <a:t>Resource Recovery Options</a:t>
                </a:r>
              </a:p>
            </c:rich>
          </c:tx>
          <c:layout>
            <c:manualLayout>
              <c:xMode val="edge"/>
              <c:yMode val="edge"/>
              <c:x val="0.42394389097590918"/>
              <c:y val="0.8771957255343080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61632"/>
        <c:crosses val="autoZero"/>
        <c:auto val="1"/>
        <c:lblAlgn val="ctr"/>
        <c:lblOffset val="100"/>
        <c:noMultiLvlLbl val="0"/>
      </c:catAx>
      <c:valAx>
        <c:axId val="129461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Revenue (US$)</a:t>
                </a:r>
              </a:p>
            </c:rich>
          </c:tx>
          <c:layout>
            <c:manualLayout>
              <c:xMode val="edge"/>
              <c:yMode val="edge"/>
              <c:x val="1.5748453313119522E-2"/>
              <c:y val="0.3314531308586427"/>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59712"/>
        <c:crosses val="autoZero"/>
        <c:crossBetween val="between"/>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sz="11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b="1"/>
              <a:t>Nutrient Content recovered from Organic MSW</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7412562516295"/>
          <c:y val="0.10690712961653834"/>
          <c:w val="0.87245628231420158"/>
          <c:h val="0.65680590254371496"/>
        </c:manualLayout>
      </c:layout>
      <c:barChart>
        <c:barDir val="col"/>
        <c:grouping val="clustered"/>
        <c:varyColors val="0"/>
        <c:ser>
          <c:idx val="1"/>
          <c:order val="0"/>
          <c:tx>
            <c:strRef>
              <c:f>Graphs!$AA$106</c:f>
              <c:strCache>
                <c:ptCount val="1"/>
                <c:pt idx="0">
                  <c:v>Nitrogen</c:v>
                </c:pt>
              </c:strCache>
            </c:strRef>
          </c:tx>
          <c:spPr>
            <a:solidFill>
              <a:schemeClr val="accent2"/>
            </a:solidFill>
            <a:ln>
              <a:noFill/>
            </a:ln>
            <a:effectLst/>
          </c:spPr>
          <c:invertIfNegative val="0"/>
          <c:cat>
            <c:strRef>
              <c:f>Graphs!$Z$107:$Z$110</c:f>
              <c:strCache>
                <c:ptCount val="4"/>
                <c:pt idx="0">
                  <c:v>Anaerobic Digestion</c:v>
                </c:pt>
                <c:pt idx="1">
                  <c:v>Solid Fuel</c:v>
                </c:pt>
                <c:pt idx="2">
                  <c:v>BSF Processing</c:v>
                </c:pt>
                <c:pt idx="3">
                  <c:v>Composting</c:v>
                </c:pt>
              </c:strCache>
            </c:strRef>
          </c:cat>
          <c:val>
            <c:numRef>
              <c:f>Graphs!$AA$107:$AA$110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0-E4CA-4035-B4E9-795E4821A8C1}"/>
            </c:ext>
          </c:extLst>
        </c:ser>
        <c:ser>
          <c:idx val="3"/>
          <c:order val="1"/>
          <c:tx>
            <c:strRef>
              <c:f>Graphs!$AB$106</c:f>
              <c:strCache>
                <c:ptCount val="1"/>
                <c:pt idx="0">
                  <c:v>Phosphorus</c:v>
                </c:pt>
              </c:strCache>
            </c:strRef>
          </c:tx>
          <c:spPr>
            <a:solidFill>
              <a:schemeClr val="accent4"/>
            </a:solidFill>
            <a:ln>
              <a:noFill/>
            </a:ln>
            <a:effectLst/>
          </c:spPr>
          <c:invertIfNegative val="0"/>
          <c:cat>
            <c:strRef>
              <c:f>Graphs!$Z$107:$Z$110</c:f>
              <c:strCache>
                <c:ptCount val="4"/>
                <c:pt idx="0">
                  <c:v>Anaerobic Digestion</c:v>
                </c:pt>
                <c:pt idx="1">
                  <c:v>Solid Fuel</c:v>
                </c:pt>
                <c:pt idx="2">
                  <c:v>BSF Processing</c:v>
                </c:pt>
                <c:pt idx="3">
                  <c:v>Composting</c:v>
                </c:pt>
              </c:strCache>
            </c:strRef>
          </c:cat>
          <c:val>
            <c:numRef>
              <c:f>Graphs!$AB$107:$AB$110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1-E4CA-4035-B4E9-795E4821A8C1}"/>
            </c:ext>
          </c:extLst>
        </c:ser>
        <c:ser>
          <c:idx val="5"/>
          <c:order val="2"/>
          <c:tx>
            <c:strRef>
              <c:f>Graphs!$AC$106</c:f>
              <c:strCache>
                <c:ptCount val="1"/>
                <c:pt idx="0">
                  <c:v>Potassium</c:v>
                </c:pt>
              </c:strCache>
            </c:strRef>
          </c:tx>
          <c:spPr>
            <a:solidFill>
              <a:schemeClr val="accent6"/>
            </a:solidFill>
            <a:ln>
              <a:noFill/>
            </a:ln>
            <a:effectLst/>
          </c:spPr>
          <c:invertIfNegative val="0"/>
          <c:cat>
            <c:strRef>
              <c:f>Graphs!$Z$107:$Z$110</c:f>
              <c:strCache>
                <c:ptCount val="4"/>
                <c:pt idx="0">
                  <c:v>Anaerobic Digestion</c:v>
                </c:pt>
                <c:pt idx="1">
                  <c:v>Solid Fuel</c:v>
                </c:pt>
                <c:pt idx="2">
                  <c:v>BSF Processing</c:v>
                </c:pt>
                <c:pt idx="3">
                  <c:v>Composting</c:v>
                </c:pt>
              </c:strCache>
            </c:strRef>
          </c:cat>
          <c:val>
            <c:numRef>
              <c:f>Graphs!$AC$107:$AC$110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2-E4CA-4035-B4E9-795E4821A8C1}"/>
            </c:ext>
          </c:extLst>
        </c:ser>
        <c:dLbls>
          <c:showLegendKey val="0"/>
          <c:showVal val="0"/>
          <c:showCatName val="0"/>
          <c:showSerName val="0"/>
          <c:showPercent val="0"/>
          <c:showBubbleSize val="0"/>
        </c:dLbls>
        <c:gapWidth val="219"/>
        <c:overlap val="-27"/>
        <c:axId val="129489920"/>
        <c:axId val="129492096"/>
      </c:barChart>
      <c:catAx>
        <c:axId val="129489920"/>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layout>
            <c:manualLayout>
              <c:xMode val="edge"/>
              <c:yMode val="edge"/>
              <c:x val="0.46774269856817641"/>
              <c:y val="0.8629724536271076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92096"/>
        <c:crosses val="autoZero"/>
        <c:auto val="1"/>
        <c:lblAlgn val="ctr"/>
        <c:lblOffset val="100"/>
        <c:noMultiLvlLbl val="0"/>
      </c:catAx>
      <c:valAx>
        <c:axId val="129492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GB" sz="2000" b="0" i="0" baseline="0">
                    <a:effectLst/>
                  </a:rPr>
                  <a:t>Mass  (tonnes)</a:t>
                </a:r>
                <a:endParaRPr lang="en-GB" sz="2000">
                  <a:effectLst/>
                </a:endParaRPr>
              </a:p>
            </c:rich>
          </c:tx>
          <c:layout>
            <c:manualLayout>
              <c:xMode val="edge"/>
              <c:yMode val="edge"/>
              <c:x val="8.8098573617198424E-3"/>
              <c:y val="0.28686506451710375"/>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00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89920"/>
        <c:crosses val="autoZero"/>
        <c:crossBetween val="between"/>
      </c:valAx>
      <c:spPr>
        <a:noFill/>
        <a:ln>
          <a:noFill/>
        </a:ln>
        <a:effectLst/>
      </c:spPr>
    </c:plotArea>
    <c:legend>
      <c:legendPos val="b"/>
      <c:layout>
        <c:manualLayout>
          <c:xMode val="edge"/>
          <c:yMode val="edge"/>
          <c:x val="0.38875649602342877"/>
          <c:y val="0.27807563734631735"/>
          <c:w val="0.3687727253362848"/>
          <c:h val="6.5748354756963626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b="1"/>
              <a:t>Energy Content recovered</a:t>
            </a:r>
            <a:r>
              <a:rPr lang="en-GB" sz="2000" b="1" baseline="0"/>
              <a:t> </a:t>
            </a:r>
            <a:r>
              <a:rPr lang="en-GB" sz="2000" b="1"/>
              <a:t>from Organic MSW</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438542860567063"/>
          <c:y val="8.421170054406002E-2"/>
          <c:w val="0.85379459877350738"/>
          <c:h val="0.73822186963782377"/>
        </c:manualLayout>
      </c:layout>
      <c:barChart>
        <c:barDir val="col"/>
        <c:grouping val="clustered"/>
        <c:varyColors val="0"/>
        <c:ser>
          <c:idx val="1"/>
          <c:order val="0"/>
          <c:tx>
            <c:strRef>
              <c:f>Graphs!$AA$114</c:f>
              <c:strCache>
                <c:ptCount val="1"/>
                <c:pt idx="0">
                  <c:v>Typical value with bars indicating the minimum and maximum values possible</c:v>
                </c:pt>
              </c:strCache>
            </c:strRef>
          </c:tx>
          <c:spPr>
            <a:solidFill>
              <a:schemeClr val="accent2"/>
            </a:solidFill>
            <a:ln>
              <a:noFill/>
            </a:ln>
            <a:effectLst/>
          </c:spPr>
          <c:invertIfNegative val="0"/>
          <c:cat>
            <c:strRef>
              <c:f>Graphs!$Z$115:$Z$118</c:f>
              <c:strCache>
                <c:ptCount val="4"/>
                <c:pt idx="0">
                  <c:v>Anaerobic Digestion</c:v>
                </c:pt>
                <c:pt idx="1">
                  <c:v>Solid Fuel</c:v>
                </c:pt>
                <c:pt idx="2">
                  <c:v>BSF Processing</c:v>
                </c:pt>
                <c:pt idx="3">
                  <c:v>Composting</c:v>
                </c:pt>
              </c:strCache>
            </c:strRef>
          </c:cat>
          <c:val>
            <c:numRef>
              <c:f>Graphs!$AA$115:$AA$118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786A-4ABA-8711-E4AC6E577123}"/>
            </c:ext>
          </c:extLst>
        </c:ser>
        <c:dLbls>
          <c:showLegendKey val="0"/>
          <c:showVal val="0"/>
          <c:showCatName val="0"/>
          <c:showSerName val="0"/>
          <c:showPercent val="0"/>
          <c:showBubbleSize val="0"/>
        </c:dLbls>
        <c:gapWidth val="219"/>
        <c:overlap val="-27"/>
        <c:axId val="129570304"/>
        <c:axId val="129572224"/>
      </c:barChart>
      <c:catAx>
        <c:axId val="129570304"/>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layout>
            <c:manualLayout>
              <c:xMode val="edge"/>
              <c:yMode val="edge"/>
              <c:x val="0.37506410263461087"/>
              <c:y val="0.926908213483967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572224"/>
        <c:crosses val="autoZero"/>
        <c:auto val="1"/>
        <c:lblAlgn val="ctr"/>
        <c:lblOffset val="100"/>
        <c:noMultiLvlLbl val="0"/>
      </c:catAx>
      <c:valAx>
        <c:axId val="129572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MJ</a:t>
                </a:r>
              </a:p>
            </c:rich>
          </c:tx>
          <c:layout>
            <c:manualLayout>
              <c:xMode val="edge"/>
              <c:yMode val="edge"/>
              <c:x val="1.3175635000000423E-2"/>
              <c:y val="0.34714691655179702"/>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570304"/>
        <c:crosses val="autoZero"/>
        <c:crossBetween val="between"/>
        <c:dispUnits>
          <c:builtInUnit val="thousands"/>
          <c:dispUnitsLbl>
            <c:layout>
              <c:manualLayout>
                <c:xMode val="edge"/>
                <c:yMode val="edge"/>
                <c:x val="1.1954205357046914E-2"/>
                <c:y val="0.41234484274281741"/>
              </c:manualLayout>
            </c:layout>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Thousand</a:t>
                  </a:r>
                </a:p>
              </c:rich>
            </c:tx>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GB" sz="1800" b="1" i="0" baseline="0">
                <a:effectLst/>
              </a:rPr>
              <a:t>Comparison of the potential revenues that can be obtained from the different resource options with all the waste streams combined </a:t>
            </a:r>
            <a:endParaRPr lang="en-US" sz="2000">
              <a:effectLst/>
            </a:endParaRP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503803072751042"/>
          <c:y val="0.15699470899470899"/>
          <c:w val="0.83502999982164028"/>
          <c:h val="0.64798566845810945"/>
        </c:manualLayout>
      </c:layout>
      <c:barChart>
        <c:barDir val="col"/>
        <c:grouping val="clustered"/>
        <c:varyColors val="0"/>
        <c:ser>
          <c:idx val="1"/>
          <c:order val="0"/>
          <c:tx>
            <c:strRef>
              <c:f>Graphs!$AL$98</c:f>
              <c:strCache>
                <c:ptCount val="1"/>
                <c:pt idx="0">
                  <c:v>Typical value with bars indicating the minimum and maximum values possible</c:v>
                </c:pt>
              </c:strCache>
            </c:strRef>
          </c:tx>
          <c:spPr>
            <a:solidFill>
              <a:schemeClr val="accent2"/>
            </a:solidFill>
            <a:ln>
              <a:noFill/>
            </a:ln>
            <a:effectLst/>
          </c:spPr>
          <c:invertIfNegative val="0"/>
          <c:cat>
            <c:strRef>
              <c:f>Graphs!$AK$99:$AK$102</c:f>
              <c:strCache>
                <c:ptCount val="4"/>
                <c:pt idx="0">
                  <c:v>Anaerobic Digestion</c:v>
                </c:pt>
                <c:pt idx="1">
                  <c:v>Solid Fuel</c:v>
                </c:pt>
                <c:pt idx="2">
                  <c:v>BSF Processing</c:v>
                </c:pt>
                <c:pt idx="3">
                  <c:v>Composting</c:v>
                </c:pt>
              </c:strCache>
            </c:strRef>
          </c:cat>
          <c:val>
            <c:numRef>
              <c:f>Graphs!$AL$99:$AL$102</c:f>
              <c:numCache>
                <c:formatCode>0.00</c:formatCode>
                <c:ptCount val="4"/>
                <c:pt idx="0">
                  <c:v>0</c:v>
                </c:pt>
                <c:pt idx="1">
                  <c:v>0</c:v>
                </c:pt>
                <c:pt idx="2">
                  <c:v>0</c:v>
                </c:pt>
                <c:pt idx="3">
                  <c:v>0</c:v>
                </c:pt>
              </c:numCache>
            </c:numRef>
          </c:val>
          <c:extLst>
            <c:ext xmlns:c16="http://schemas.microsoft.com/office/drawing/2014/chart" uri="{C3380CC4-5D6E-409C-BE32-E72D297353CC}">
              <c16:uniqueId val="{00000000-4057-46CB-AA03-2A10DC1A891F}"/>
            </c:ext>
          </c:extLst>
        </c:ser>
        <c:dLbls>
          <c:showLegendKey val="0"/>
          <c:showVal val="0"/>
          <c:showCatName val="0"/>
          <c:showSerName val="0"/>
          <c:showPercent val="0"/>
          <c:showBubbleSize val="0"/>
        </c:dLbls>
        <c:gapWidth val="219"/>
        <c:overlap val="-27"/>
        <c:axId val="129459712"/>
        <c:axId val="129461632"/>
      </c:barChart>
      <c:catAx>
        <c:axId val="129459712"/>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GB" sz="1400"/>
                  <a:t>Resource Recovery Options</a:t>
                </a:r>
              </a:p>
            </c:rich>
          </c:tx>
          <c:layout>
            <c:manualLayout>
              <c:xMode val="edge"/>
              <c:yMode val="edge"/>
              <c:x val="0.35562927337854738"/>
              <c:y val="0.8843385826771653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9461632"/>
        <c:crosses val="autoZero"/>
        <c:auto val="1"/>
        <c:lblAlgn val="ctr"/>
        <c:lblOffset val="100"/>
        <c:noMultiLvlLbl val="0"/>
      </c:catAx>
      <c:valAx>
        <c:axId val="129461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Revenue (US$)</a:t>
                </a:r>
              </a:p>
            </c:rich>
          </c:tx>
          <c:layout>
            <c:manualLayout>
              <c:xMode val="edge"/>
              <c:yMode val="edge"/>
              <c:x val="1.5748453313119522E-2"/>
              <c:y val="0.3314531308586427"/>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59712"/>
        <c:crosses val="autoZero"/>
        <c:crossBetween val="between"/>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sz="11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1800" b="1" i="0" baseline="0">
                <a:effectLst/>
              </a:rPr>
              <a:t>Comparison of the nutrient amounts that can be recovered from the different resource options with all the waste streams combined </a:t>
            </a:r>
            <a:endParaRPr lang="en-US">
              <a:effectLst/>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7412562516295"/>
          <c:y val="0.10690712961653834"/>
          <c:w val="0.87245628231420158"/>
          <c:h val="0.65680590254371496"/>
        </c:manualLayout>
      </c:layout>
      <c:barChart>
        <c:barDir val="col"/>
        <c:grouping val="clustered"/>
        <c:varyColors val="0"/>
        <c:ser>
          <c:idx val="1"/>
          <c:order val="0"/>
          <c:tx>
            <c:strRef>
              <c:f>Graphs!$AL$106</c:f>
              <c:strCache>
                <c:ptCount val="1"/>
                <c:pt idx="0">
                  <c:v>Nitrogen</c:v>
                </c:pt>
              </c:strCache>
            </c:strRef>
          </c:tx>
          <c:spPr>
            <a:solidFill>
              <a:schemeClr val="accent2"/>
            </a:solidFill>
            <a:ln>
              <a:noFill/>
            </a:ln>
            <a:effectLst/>
          </c:spPr>
          <c:invertIfNegative val="0"/>
          <c:cat>
            <c:strRef>
              <c:f>Graphs!$AK$107:$AK$110</c:f>
              <c:strCache>
                <c:ptCount val="4"/>
                <c:pt idx="0">
                  <c:v>Anaerobic Digestion</c:v>
                </c:pt>
                <c:pt idx="1">
                  <c:v>Solid Fuel</c:v>
                </c:pt>
                <c:pt idx="2">
                  <c:v>BSF Processing</c:v>
                </c:pt>
                <c:pt idx="3">
                  <c:v>Composting</c:v>
                </c:pt>
              </c:strCache>
            </c:strRef>
          </c:cat>
          <c:val>
            <c:numRef>
              <c:f>Graphs!$AL$107:$AL$110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0-0888-49CE-94F2-E5BE8BEF9EF0}"/>
            </c:ext>
          </c:extLst>
        </c:ser>
        <c:ser>
          <c:idx val="3"/>
          <c:order val="1"/>
          <c:tx>
            <c:strRef>
              <c:f>Graphs!$AM$106</c:f>
              <c:strCache>
                <c:ptCount val="1"/>
                <c:pt idx="0">
                  <c:v>Phosphorus</c:v>
                </c:pt>
              </c:strCache>
            </c:strRef>
          </c:tx>
          <c:spPr>
            <a:solidFill>
              <a:schemeClr val="accent4"/>
            </a:solidFill>
            <a:ln>
              <a:noFill/>
            </a:ln>
            <a:effectLst/>
          </c:spPr>
          <c:invertIfNegative val="0"/>
          <c:cat>
            <c:strRef>
              <c:f>Graphs!$AK$107:$AK$110</c:f>
              <c:strCache>
                <c:ptCount val="4"/>
                <c:pt idx="0">
                  <c:v>Anaerobic Digestion</c:v>
                </c:pt>
                <c:pt idx="1">
                  <c:v>Solid Fuel</c:v>
                </c:pt>
                <c:pt idx="2">
                  <c:v>BSF Processing</c:v>
                </c:pt>
                <c:pt idx="3">
                  <c:v>Composting</c:v>
                </c:pt>
              </c:strCache>
            </c:strRef>
          </c:cat>
          <c:val>
            <c:numRef>
              <c:f>Graphs!$AM$107:$AM$110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1-0888-49CE-94F2-E5BE8BEF9EF0}"/>
            </c:ext>
          </c:extLst>
        </c:ser>
        <c:ser>
          <c:idx val="5"/>
          <c:order val="2"/>
          <c:tx>
            <c:strRef>
              <c:f>Graphs!$AN$106</c:f>
              <c:strCache>
                <c:ptCount val="1"/>
                <c:pt idx="0">
                  <c:v>Potassium</c:v>
                </c:pt>
              </c:strCache>
            </c:strRef>
          </c:tx>
          <c:spPr>
            <a:solidFill>
              <a:schemeClr val="accent6"/>
            </a:solidFill>
            <a:ln>
              <a:noFill/>
            </a:ln>
            <a:effectLst/>
          </c:spPr>
          <c:invertIfNegative val="0"/>
          <c:cat>
            <c:strRef>
              <c:f>Graphs!$AK$107:$AK$110</c:f>
              <c:strCache>
                <c:ptCount val="4"/>
                <c:pt idx="0">
                  <c:v>Anaerobic Digestion</c:v>
                </c:pt>
                <c:pt idx="1">
                  <c:v>Solid Fuel</c:v>
                </c:pt>
                <c:pt idx="2">
                  <c:v>BSF Processing</c:v>
                </c:pt>
                <c:pt idx="3">
                  <c:v>Composting</c:v>
                </c:pt>
              </c:strCache>
            </c:strRef>
          </c:cat>
          <c:val>
            <c:numRef>
              <c:f>Graphs!$AN$107:$AN$110</c:f>
              <c:numCache>
                <c:formatCode>0.00</c:formatCode>
                <c:ptCount val="4"/>
                <c:pt idx="0">
                  <c:v>0</c:v>
                </c:pt>
                <c:pt idx="1">
                  <c:v>0</c:v>
                </c:pt>
                <c:pt idx="2">
                  <c:v>0</c:v>
                </c:pt>
                <c:pt idx="3">
                  <c:v>0</c:v>
                </c:pt>
              </c:numCache>
            </c:numRef>
          </c:val>
          <c:extLst>
            <c:ext xmlns:c16="http://schemas.microsoft.com/office/drawing/2014/chart" uri="{C3380CC4-5D6E-409C-BE32-E72D297353CC}">
              <c16:uniqueId val="{00000002-0888-49CE-94F2-E5BE8BEF9EF0}"/>
            </c:ext>
          </c:extLst>
        </c:ser>
        <c:dLbls>
          <c:showLegendKey val="0"/>
          <c:showVal val="0"/>
          <c:showCatName val="0"/>
          <c:showSerName val="0"/>
          <c:showPercent val="0"/>
          <c:showBubbleSize val="0"/>
        </c:dLbls>
        <c:gapWidth val="219"/>
        <c:overlap val="-27"/>
        <c:axId val="129489920"/>
        <c:axId val="129492096"/>
      </c:barChart>
      <c:catAx>
        <c:axId val="129489920"/>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layout>
            <c:manualLayout>
              <c:xMode val="edge"/>
              <c:yMode val="edge"/>
              <c:x val="0.41727328818716181"/>
              <c:y val="0.8748167858996115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92096"/>
        <c:crosses val="autoZero"/>
        <c:auto val="1"/>
        <c:lblAlgn val="ctr"/>
        <c:lblOffset val="100"/>
        <c:noMultiLvlLbl val="0"/>
      </c:catAx>
      <c:valAx>
        <c:axId val="129492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GB" sz="2000" b="0" i="0" baseline="0">
                    <a:effectLst/>
                  </a:rPr>
                  <a:t>Mass  (tonnes)</a:t>
                </a:r>
                <a:endParaRPr lang="en-GB" sz="2000">
                  <a:effectLst/>
                </a:endParaRPr>
              </a:p>
            </c:rich>
          </c:tx>
          <c:layout>
            <c:manualLayout>
              <c:xMode val="edge"/>
              <c:yMode val="edge"/>
              <c:x val="8.8098573617198424E-3"/>
              <c:y val="0.28686506451710375"/>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00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489920"/>
        <c:crosses val="autoZero"/>
        <c:crossBetween val="between"/>
      </c:valAx>
      <c:spPr>
        <a:noFill/>
        <a:ln>
          <a:noFill/>
        </a:ln>
        <a:effectLst/>
      </c:spPr>
    </c:plotArea>
    <c:legend>
      <c:legendPos val="b"/>
      <c:layout>
        <c:manualLayout>
          <c:xMode val="edge"/>
          <c:yMode val="edge"/>
          <c:x val="0.32765699279793958"/>
          <c:y val="0.30887090125482769"/>
          <c:w val="0.41197854322083122"/>
          <c:h val="6.5748354756963626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GB" sz="2000" b="1"/>
              <a:t>Comparison of the energy content that can be recovered</a:t>
            </a:r>
            <a:r>
              <a:rPr lang="en-GB" sz="2000" b="1" baseline="0"/>
              <a:t> </a:t>
            </a:r>
            <a:r>
              <a:rPr lang="en-GB" sz="2000" b="1"/>
              <a:t>from</a:t>
            </a:r>
            <a:r>
              <a:rPr lang="en-GB" sz="2000" b="1" i="0" u="none" strike="noStrike" baseline="0">
                <a:effectLst/>
              </a:rPr>
              <a:t> the different resource options with all the waste streams combined </a:t>
            </a:r>
            <a:endParaRPr lang="en-GB" sz="2000" b="1"/>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438542860567063"/>
          <c:y val="8.421170054406002E-2"/>
          <c:w val="0.85379459877350738"/>
          <c:h val="0.73822186963782377"/>
        </c:manualLayout>
      </c:layout>
      <c:barChart>
        <c:barDir val="col"/>
        <c:grouping val="clustered"/>
        <c:varyColors val="0"/>
        <c:ser>
          <c:idx val="1"/>
          <c:order val="0"/>
          <c:tx>
            <c:strRef>
              <c:f>Graphs!$AL$114</c:f>
              <c:strCache>
                <c:ptCount val="1"/>
                <c:pt idx="0">
                  <c:v>Typical value with bars indicating the minimum and maximum values possible</c:v>
                </c:pt>
              </c:strCache>
            </c:strRef>
          </c:tx>
          <c:spPr>
            <a:solidFill>
              <a:schemeClr val="accent2"/>
            </a:solidFill>
            <a:ln>
              <a:noFill/>
            </a:ln>
            <a:effectLst/>
          </c:spPr>
          <c:invertIfNegative val="0"/>
          <c:cat>
            <c:strRef>
              <c:f>Graphs!$AK$115:$AK$118</c:f>
              <c:strCache>
                <c:ptCount val="4"/>
                <c:pt idx="0">
                  <c:v>Anaerobic Digestion</c:v>
                </c:pt>
                <c:pt idx="1">
                  <c:v>Solid Fuel</c:v>
                </c:pt>
                <c:pt idx="2">
                  <c:v>BSF Processing</c:v>
                </c:pt>
                <c:pt idx="3">
                  <c:v>Composting</c:v>
                </c:pt>
              </c:strCache>
            </c:strRef>
          </c:cat>
          <c:val>
            <c:numRef>
              <c:f>Graphs!$AL$115:$AL$118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A3FE-442B-AAEB-A4C87D1AB854}"/>
            </c:ext>
          </c:extLst>
        </c:ser>
        <c:dLbls>
          <c:showLegendKey val="0"/>
          <c:showVal val="0"/>
          <c:showCatName val="0"/>
          <c:showSerName val="0"/>
          <c:showPercent val="0"/>
          <c:showBubbleSize val="0"/>
        </c:dLbls>
        <c:gapWidth val="219"/>
        <c:overlap val="-27"/>
        <c:axId val="129570304"/>
        <c:axId val="129572224"/>
      </c:barChart>
      <c:catAx>
        <c:axId val="129570304"/>
        <c:scaling>
          <c:orientation val="minMax"/>
        </c:scaling>
        <c:delete val="0"/>
        <c:axPos val="b"/>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b="0" i="0" baseline="0">
                    <a:effectLst/>
                  </a:rPr>
                  <a:t>Resource Recovery Options</a:t>
                </a:r>
                <a:endParaRPr lang="en-GB" sz="1800">
                  <a:effectLst/>
                </a:endParaRPr>
              </a:p>
            </c:rich>
          </c:tx>
          <c:layout>
            <c:manualLayout>
              <c:xMode val="edge"/>
              <c:yMode val="edge"/>
              <c:x val="0.39697743634227156"/>
              <c:y val="0.9090880070887938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572224"/>
        <c:crosses val="autoZero"/>
        <c:auto val="1"/>
        <c:lblAlgn val="ctr"/>
        <c:lblOffset val="100"/>
        <c:noMultiLvlLbl val="0"/>
      </c:catAx>
      <c:valAx>
        <c:axId val="129572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MJ</a:t>
                </a:r>
              </a:p>
            </c:rich>
          </c:tx>
          <c:layout>
            <c:manualLayout>
              <c:xMode val="edge"/>
              <c:yMode val="edge"/>
              <c:x val="1.3175635000000423E-2"/>
              <c:y val="0.34714691655179702"/>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29570304"/>
        <c:crosses val="autoZero"/>
        <c:crossBetween val="between"/>
        <c:dispUnits>
          <c:builtInUnit val="thousands"/>
          <c:dispUnitsLbl>
            <c:layout>
              <c:manualLayout>
                <c:xMode val="edge"/>
                <c:yMode val="edge"/>
                <c:x val="1.1954205357046914E-2"/>
                <c:y val="0.41234484274281741"/>
              </c:manualLayout>
            </c:layout>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Thousand</a:t>
                  </a:r>
                </a:p>
              </c:rich>
            </c:tx>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0"/>
    <c:dispBlanksAs val="gap"/>
    <c:showDLblsOverMax val="0"/>
  </c:chart>
  <c:spPr>
    <a:solidFill>
      <a:schemeClr val="bg1"/>
    </a:solidFill>
    <a:ln w="2857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152401</xdr:colOff>
          <xdr:row>0</xdr:row>
          <xdr:rowOff>38101</xdr:rowOff>
        </xdr:from>
        <xdr:to>
          <xdr:col>0</xdr:col>
          <xdr:colOff>952500</xdr:colOff>
          <xdr:row>3</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94320144-AB0C-4B95-B0EA-CC45651958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Show Summarised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142874</xdr:colOff>
          <xdr:row>3</xdr:row>
          <xdr:rowOff>85726</xdr:rowOff>
        </xdr:from>
        <xdr:to>
          <xdr:col>0</xdr:col>
          <xdr:colOff>942975</xdr:colOff>
          <xdr:row>6</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B25F872C-86E3-41EC-B6BE-E33529110CC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Show Detailed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133351</xdr:colOff>
          <xdr:row>6</xdr:row>
          <xdr:rowOff>152400</xdr:rowOff>
        </xdr:from>
        <xdr:to>
          <xdr:col>0</xdr:col>
          <xdr:colOff>952501</xdr:colOff>
          <xdr:row>10</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D86B2963-6E2B-4367-8B7B-D78A11DD25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 Results &amp; Graph to New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12</xdr:col>
      <xdr:colOff>0</xdr:colOff>
      <xdr:row>29</xdr:row>
      <xdr:rowOff>176893</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15875</xdr:colOff>
      <xdr:row>32</xdr:row>
      <xdr:rowOff>29482</xdr:rowOff>
    </xdr:from>
    <xdr:to>
      <xdr:col>12</xdr:col>
      <xdr:colOff>15875</xdr:colOff>
      <xdr:row>60</xdr:row>
      <xdr:rowOff>2268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13607</xdr:colOff>
      <xdr:row>62</xdr:row>
      <xdr:rowOff>13606</xdr:rowOff>
    </xdr:from>
    <xdr:to>
      <xdr:col>12</xdr:col>
      <xdr:colOff>25513</xdr:colOff>
      <xdr:row>91</xdr:row>
      <xdr:rowOff>190499</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xdr:row>
      <xdr:rowOff>190499</xdr:rowOff>
    </xdr:from>
    <xdr:to>
      <xdr:col>23</xdr:col>
      <xdr:colOff>595312</xdr:colOff>
      <xdr:row>30</xdr:row>
      <xdr:rowOff>13606</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32</xdr:row>
      <xdr:rowOff>13607</xdr:rowOff>
    </xdr:from>
    <xdr:to>
      <xdr:col>24</xdr:col>
      <xdr:colOff>11906</xdr:colOff>
      <xdr:row>60</xdr:row>
      <xdr:rowOff>13606</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13607</xdr:colOff>
      <xdr:row>62</xdr:row>
      <xdr:rowOff>1</xdr:rowOff>
    </xdr:from>
    <xdr:to>
      <xdr:col>24</xdr:col>
      <xdr:colOff>64635</xdr:colOff>
      <xdr:row>92</xdr:row>
      <xdr:rowOff>13607</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607217</xdr:colOff>
      <xdr:row>2</xdr:row>
      <xdr:rowOff>0</xdr:rowOff>
    </xdr:from>
    <xdr:to>
      <xdr:col>36</xdr:col>
      <xdr:colOff>11905</xdr:colOff>
      <xdr:row>30</xdr:row>
      <xdr:rowOff>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11905</xdr:colOff>
      <xdr:row>31</xdr:row>
      <xdr:rowOff>163286</xdr:rowOff>
    </xdr:from>
    <xdr:to>
      <xdr:col>35</xdr:col>
      <xdr:colOff>595311</xdr:colOff>
      <xdr:row>60</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13605</xdr:colOff>
      <xdr:row>62</xdr:row>
      <xdr:rowOff>13607</xdr:rowOff>
    </xdr:from>
    <xdr:to>
      <xdr:col>35</xdr:col>
      <xdr:colOff>608917</xdr:colOff>
      <xdr:row>92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36</xdr:col>
      <xdr:colOff>607217</xdr:colOff>
      <xdr:row>2</xdr:row>
      <xdr:rowOff>0</xdr:rowOff>
    </xdr:from>
    <xdr:to>
      <xdr:col>48</xdr:col>
      <xdr:colOff>11905</xdr:colOff>
      <xdr:row>30</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37</xdr:col>
      <xdr:colOff>11905</xdr:colOff>
      <xdr:row>31</xdr:row>
      <xdr:rowOff>163286</xdr:rowOff>
    </xdr:from>
    <xdr:to>
      <xdr:col>47</xdr:col>
      <xdr:colOff>595311</xdr:colOff>
      <xdr:row>60</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37</xdr:col>
      <xdr:colOff>13605</xdr:colOff>
      <xdr:row>62</xdr:row>
      <xdr:rowOff>13607</xdr:rowOff>
    </xdr:from>
    <xdr:to>
      <xdr:col>47</xdr:col>
      <xdr:colOff>608917</xdr:colOff>
      <xdr:row>92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0"/>
  <sheetViews>
    <sheetView showGridLines="0" view="pageBreakPreview" zoomScaleNormal="100" zoomScaleSheetLayoutView="100" workbookViewId="0">
      <selection activeCell="C1" sqref="C1"/>
    </sheetView>
  </sheetViews>
  <sheetFormatPr defaultColWidth="9.140625" defaultRowHeight="15" x14ac:dyDescent="0.25"/>
  <cols>
    <col min="1" max="1" width="19" style="5" customWidth="1"/>
    <col min="2" max="2" width="97" style="5" customWidth="1"/>
    <col min="3" max="16384" width="9.140625" style="5"/>
  </cols>
  <sheetData>
    <row r="1" spans="1:2" ht="21" x14ac:dyDescent="0.25">
      <c r="A1" s="161" t="s">
        <v>146</v>
      </c>
      <c r="B1" s="161"/>
    </row>
    <row r="2" spans="1:2" ht="18.75" x14ac:dyDescent="0.25">
      <c r="A2" s="119" t="s">
        <v>147</v>
      </c>
      <c r="B2" s="119"/>
    </row>
    <row r="3" spans="1:2" ht="52.5" customHeight="1" x14ac:dyDescent="0.25">
      <c r="A3" s="118" t="s">
        <v>161</v>
      </c>
      <c r="B3" s="118"/>
    </row>
    <row r="4" spans="1:2" s="13" customFormat="1" ht="18.75" customHeight="1" x14ac:dyDescent="0.25">
      <c r="A4" s="119" t="s">
        <v>157</v>
      </c>
      <c r="B4" s="119"/>
    </row>
    <row r="5" spans="1:2" s="13" customFormat="1" ht="55.5" customHeight="1" x14ac:dyDescent="0.25">
      <c r="A5" s="160" t="s">
        <v>148</v>
      </c>
      <c r="B5" s="12" t="s">
        <v>150</v>
      </c>
    </row>
    <row r="6" spans="1:2" s="13" customFormat="1" ht="69" customHeight="1" x14ac:dyDescent="0.25">
      <c r="A6" s="160" t="s">
        <v>149</v>
      </c>
      <c r="B6" s="12" t="s">
        <v>151</v>
      </c>
    </row>
    <row r="7" spans="1:2" s="13" customFormat="1" ht="66" customHeight="1" x14ac:dyDescent="0.25">
      <c r="A7" s="160" t="s">
        <v>152</v>
      </c>
      <c r="B7" s="12" t="s">
        <v>153</v>
      </c>
    </row>
    <row r="8" spans="1:2" s="13" customFormat="1" ht="129" customHeight="1" x14ac:dyDescent="0.25">
      <c r="A8" s="160" t="s">
        <v>154</v>
      </c>
      <c r="B8" s="12" t="s">
        <v>156</v>
      </c>
    </row>
    <row r="9" spans="1:2" s="13" customFormat="1" ht="66.75" customHeight="1" x14ac:dyDescent="0.25">
      <c r="A9" s="4" t="s">
        <v>155</v>
      </c>
      <c r="B9" s="12" t="s">
        <v>158</v>
      </c>
    </row>
    <row r="10" spans="1:2" ht="18.75" x14ac:dyDescent="0.25">
      <c r="A10" s="119" t="s">
        <v>159</v>
      </c>
      <c r="B10" s="119"/>
    </row>
    <row r="11" spans="1:2" ht="55.5" customHeight="1" x14ac:dyDescent="0.25">
      <c r="A11" s="4" t="s">
        <v>55</v>
      </c>
      <c r="B11" s="7" t="s">
        <v>56</v>
      </c>
    </row>
    <row r="12" spans="1:2" ht="40.5" customHeight="1" x14ac:dyDescent="0.25">
      <c r="A12" s="4" t="s">
        <v>13</v>
      </c>
      <c r="B12" s="3" t="s">
        <v>57</v>
      </c>
    </row>
    <row r="13" spans="1:2" ht="35.25" customHeight="1" x14ac:dyDescent="0.25">
      <c r="A13" s="2" t="s">
        <v>14</v>
      </c>
      <c r="B13" s="3" t="s">
        <v>64</v>
      </c>
    </row>
    <row r="14" spans="1:2" ht="18.75" x14ac:dyDescent="0.25">
      <c r="A14" s="119" t="s">
        <v>160</v>
      </c>
      <c r="B14" s="119"/>
    </row>
    <row r="15" spans="1:2" ht="67.5" customHeight="1" x14ac:dyDescent="0.25">
      <c r="A15" s="4" t="s">
        <v>87</v>
      </c>
      <c r="B15" s="3" t="s">
        <v>162</v>
      </c>
    </row>
    <row r="16" spans="1:2" ht="55.5" customHeight="1" x14ac:dyDescent="0.25">
      <c r="A16" s="2" t="s">
        <v>37</v>
      </c>
      <c r="B16" s="3" t="s">
        <v>163</v>
      </c>
    </row>
    <row r="17" spans="1:2" ht="71.25" customHeight="1" x14ac:dyDescent="0.25">
      <c r="A17" s="2" t="s">
        <v>99</v>
      </c>
      <c r="B17" s="3" t="s">
        <v>164</v>
      </c>
    </row>
    <row r="18" spans="1:2" ht="39" customHeight="1" x14ac:dyDescent="0.25">
      <c r="A18" s="2" t="s">
        <v>144</v>
      </c>
      <c r="B18" s="3" t="s">
        <v>165</v>
      </c>
    </row>
    <row r="19" spans="1:2" ht="54" customHeight="1" x14ac:dyDescent="0.25">
      <c r="A19" s="118" t="s">
        <v>166</v>
      </c>
      <c r="B19" s="118"/>
    </row>
    <row r="20" spans="1:2" ht="31.5" customHeight="1" x14ac:dyDescent="0.25"/>
  </sheetData>
  <sheetProtection sheet="1" objects="1" scenarios="1"/>
  <customSheetViews>
    <customSheetView guid="{120C81B3-8656-4BA4-9255-42267753A94D}" scale="110" showPageBreaks="1" showGridLines="0" view="pageBreakPreview" topLeftCell="A4">
      <selection sqref="A1:B1"/>
      <pageMargins left="0.7" right="0.7" top="0.75" bottom="0.75" header="0.3" footer="0.3"/>
      <pageSetup paperSize="9" scale="75" orientation="portrait" r:id="rId1"/>
    </customSheetView>
  </customSheetViews>
  <mergeCells count="7">
    <mergeCell ref="A19:B19"/>
    <mergeCell ref="A2:B2"/>
    <mergeCell ref="A3:B3"/>
    <mergeCell ref="A1:B1"/>
    <mergeCell ref="A4:B4"/>
    <mergeCell ref="A10:B10"/>
    <mergeCell ref="A14:B14"/>
  </mergeCells>
  <pageMargins left="0.7" right="0.7" top="0.75" bottom="0.75" header="0.3" footer="0.3"/>
  <pageSetup paperSize="9" scale="75"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E8F83-7C42-4714-9042-10ADAEA94452}">
  <sheetPr codeName="Sheet3"/>
  <dimension ref="A1:H13"/>
  <sheetViews>
    <sheetView showGridLines="0" zoomScaleNormal="100" workbookViewId="0">
      <pane xSplit="2" ySplit="1" topLeftCell="C2" activePane="bottomRight" state="frozen"/>
      <selection pane="topRight" activeCell="C1" sqref="C1"/>
      <selection pane="bottomLeft" activeCell="A4" sqref="A4"/>
      <selection pane="bottomRight" activeCell="C2" sqref="C2"/>
    </sheetView>
  </sheetViews>
  <sheetFormatPr defaultColWidth="9.140625" defaultRowHeight="15" x14ac:dyDescent="0.25"/>
  <cols>
    <col min="1" max="1" width="43.42578125" style="194" customWidth="1"/>
    <col min="2" max="2" width="19.85546875" style="194" customWidth="1"/>
    <col min="3" max="3" width="15.140625" style="194" customWidth="1"/>
    <col min="4" max="4" width="73.140625" style="194" customWidth="1"/>
    <col min="5" max="5" width="16.28515625" style="194" customWidth="1"/>
    <col min="6" max="6" width="63.5703125" style="194" customWidth="1"/>
    <col min="7" max="7" width="18.5703125" style="194" customWidth="1"/>
    <col min="8" max="8" width="33" style="194" customWidth="1"/>
    <col min="9" max="16384" width="9.140625" style="194"/>
  </cols>
  <sheetData>
    <row r="1" spans="1:8" s="192" customFormat="1" ht="16.5" thickBot="1" x14ac:dyDescent="0.3">
      <c r="A1" s="20" t="s">
        <v>2</v>
      </c>
      <c r="B1" s="21" t="s">
        <v>0</v>
      </c>
      <c r="C1" s="22" t="s">
        <v>55</v>
      </c>
      <c r="D1" s="21" t="s">
        <v>3</v>
      </c>
      <c r="E1" s="22" t="s">
        <v>22</v>
      </c>
      <c r="F1" s="21" t="s">
        <v>3</v>
      </c>
      <c r="G1" s="22" t="s">
        <v>14</v>
      </c>
      <c r="H1" s="21" t="s">
        <v>3</v>
      </c>
    </row>
    <row r="2" spans="1:8" ht="16.5" thickTop="1" thickBot="1" x14ac:dyDescent="0.3">
      <c r="A2" s="30" t="s">
        <v>4</v>
      </c>
      <c r="B2" s="24" t="s">
        <v>5</v>
      </c>
      <c r="C2" s="14">
        <v>3</v>
      </c>
      <c r="D2" s="15" t="s">
        <v>45</v>
      </c>
      <c r="E2" s="14">
        <v>5</v>
      </c>
      <c r="F2" s="15" t="s">
        <v>108</v>
      </c>
      <c r="G2" s="14">
        <v>28.9</v>
      </c>
      <c r="H2" s="15" t="s">
        <v>51</v>
      </c>
    </row>
    <row r="3" spans="1:8" ht="16.5" thickTop="1" thickBot="1" x14ac:dyDescent="0.3">
      <c r="A3" s="30" t="s">
        <v>4</v>
      </c>
      <c r="B3" s="31" t="s">
        <v>6</v>
      </c>
      <c r="C3" s="14">
        <v>30000</v>
      </c>
      <c r="D3" s="16" t="s">
        <v>45</v>
      </c>
      <c r="E3" s="14"/>
      <c r="F3" s="15"/>
      <c r="G3" s="14"/>
      <c r="H3" s="15"/>
    </row>
    <row r="4" spans="1:8" ht="16.5" thickTop="1" thickBot="1" x14ac:dyDescent="0.3">
      <c r="A4" s="30" t="s">
        <v>102</v>
      </c>
      <c r="B4" s="24" t="s">
        <v>7</v>
      </c>
      <c r="C4" s="14">
        <v>57</v>
      </c>
      <c r="D4" s="15" t="s">
        <v>45</v>
      </c>
      <c r="E4" s="14">
        <v>65</v>
      </c>
      <c r="F4" s="15" t="s">
        <v>109</v>
      </c>
      <c r="G4" s="14">
        <v>74</v>
      </c>
      <c r="H4" s="15" t="s">
        <v>110</v>
      </c>
    </row>
    <row r="5" spans="1:8" ht="16.5" thickTop="1" thickBot="1" x14ac:dyDescent="0.3">
      <c r="A5" s="32" t="s">
        <v>8</v>
      </c>
      <c r="B5" s="24" t="s">
        <v>9</v>
      </c>
      <c r="C5" s="14">
        <v>3310</v>
      </c>
      <c r="D5" s="15" t="s">
        <v>105</v>
      </c>
      <c r="E5" s="14"/>
      <c r="F5" s="15" t="s">
        <v>50</v>
      </c>
      <c r="G5" s="14"/>
      <c r="H5" s="15"/>
    </row>
    <row r="6" spans="1:8" ht="16.5" thickTop="1" thickBot="1" x14ac:dyDescent="0.3">
      <c r="A6" s="32" t="s">
        <v>8</v>
      </c>
      <c r="B6" s="24" t="s">
        <v>20</v>
      </c>
      <c r="C6" s="14"/>
      <c r="D6" s="15"/>
      <c r="E6" s="14">
        <v>25000</v>
      </c>
      <c r="F6" s="15" t="s">
        <v>108</v>
      </c>
      <c r="G6" s="14">
        <v>18.899999999999999</v>
      </c>
      <c r="H6" s="15" t="s">
        <v>51</v>
      </c>
    </row>
    <row r="7" spans="1:8" ht="16.5" thickTop="1" thickBot="1" x14ac:dyDescent="0.3">
      <c r="A7" s="32" t="s">
        <v>16</v>
      </c>
      <c r="B7" s="24" t="s">
        <v>10</v>
      </c>
      <c r="C7" s="14">
        <v>390</v>
      </c>
      <c r="D7" s="15" t="s">
        <v>45</v>
      </c>
      <c r="E7" s="14"/>
      <c r="F7" s="15" t="s">
        <v>50</v>
      </c>
      <c r="G7" s="14"/>
      <c r="H7" s="15"/>
    </row>
    <row r="8" spans="1:8" ht="19.5" thickTop="1" thickBot="1" x14ac:dyDescent="0.4">
      <c r="A8" s="32" t="s">
        <v>16</v>
      </c>
      <c r="B8" s="24" t="s">
        <v>21</v>
      </c>
      <c r="C8" s="14"/>
      <c r="D8" s="15"/>
      <c r="E8" s="14">
        <v>16000</v>
      </c>
      <c r="F8" s="17" t="s">
        <v>107</v>
      </c>
      <c r="G8" s="14">
        <v>2.7</v>
      </c>
      <c r="H8" s="15" t="s">
        <v>51</v>
      </c>
    </row>
    <row r="9" spans="1:8" ht="19.5" thickTop="1" thickBot="1" x14ac:dyDescent="0.3">
      <c r="A9" s="32" t="s">
        <v>18</v>
      </c>
      <c r="B9" s="24" t="s">
        <v>15</v>
      </c>
      <c r="C9" s="14">
        <v>120</v>
      </c>
      <c r="D9" s="15" t="s">
        <v>104</v>
      </c>
      <c r="E9" s="14"/>
      <c r="F9" s="15"/>
      <c r="G9" s="14"/>
      <c r="H9" s="15"/>
    </row>
    <row r="10" spans="1:8" ht="16.5" thickTop="1" thickBot="1" x14ac:dyDescent="0.3">
      <c r="A10" s="32" t="s">
        <v>18</v>
      </c>
      <c r="B10" s="24" t="s">
        <v>19</v>
      </c>
      <c r="C10" s="14"/>
      <c r="D10" s="18"/>
      <c r="E10" s="14">
        <v>4000</v>
      </c>
      <c r="F10" s="15" t="s">
        <v>106</v>
      </c>
      <c r="G10" s="14">
        <v>19.5</v>
      </c>
      <c r="H10" s="15" t="s">
        <v>51</v>
      </c>
    </row>
    <row r="11" spans="1:8" ht="16.5" thickTop="1" thickBot="1" x14ac:dyDescent="0.3">
      <c r="A11" s="32" t="s">
        <v>11</v>
      </c>
      <c r="B11" s="24" t="s">
        <v>12</v>
      </c>
      <c r="C11" s="14">
        <v>16.2</v>
      </c>
      <c r="D11" s="15" t="s">
        <v>46</v>
      </c>
      <c r="E11" s="14">
        <v>16</v>
      </c>
      <c r="F11" s="15" t="s">
        <v>46</v>
      </c>
      <c r="G11" s="14">
        <v>17.3</v>
      </c>
      <c r="H11" s="15" t="s">
        <v>51</v>
      </c>
    </row>
    <row r="12" spans="1:8" ht="20.25" thickTop="1" thickBot="1" x14ac:dyDescent="0.4">
      <c r="A12" s="33" t="s">
        <v>17</v>
      </c>
      <c r="B12" s="34" t="s">
        <v>111</v>
      </c>
      <c r="C12" s="29">
        <v>304</v>
      </c>
      <c r="D12" s="19" t="s">
        <v>103</v>
      </c>
      <c r="E12" s="29">
        <v>304</v>
      </c>
      <c r="F12" s="19" t="s">
        <v>103</v>
      </c>
      <c r="G12" s="29">
        <v>445</v>
      </c>
      <c r="H12" s="19" t="s">
        <v>110</v>
      </c>
    </row>
    <row r="13" spans="1:8" x14ac:dyDescent="0.25">
      <c r="A13" s="195"/>
      <c r="B13" s="196"/>
      <c r="C13" s="9"/>
      <c r="D13" s="8"/>
      <c r="E13" s="9"/>
      <c r="F13" s="8"/>
      <c r="G13" s="9"/>
      <c r="H13" s="8"/>
    </row>
  </sheetData>
  <sheetProtection sheet="1" objects="1" scenarios="1"/>
  <customSheetViews>
    <customSheetView guid="{120C81B3-8656-4BA4-9255-42267753A94D}" scale="110" showGridLines="0">
      <pane xSplit="2" ySplit="1" topLeftCell="C2" activePane="bottomRight" state="frozen"/>
      <selection pane="bottomRight" activeCell="C8" sqref="C8"/>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4CF11-16AC-4EB2-9B55-F08F333D05B9}">
  <sheetPr codeName="Sheet4"/>
  <dimension ref="A1:J15"/>
  <sheetViews>
    <sheetView showGridLines="0" zoomScaleNormal="100" workbookViewId="0">
      <pane xSplit="2" ySplit="1" topLeftCell="C2" activePane="bottomRight" state="frozen"/>
      <selection pane="topRight" activeCell="C1" sqref="C1"/>
      <selection pane="bottomLeft" activeCell="A4" sqref="A4"/>
      <selection pane="bottomRight" activeCell="C2" sqref="C2"/>
    </sheetView>
  </sheetViews>
  <sheetFormatPr defaultColWidth="9.140625" defaultRowHeight="15" x14ac:dyDescent="0.25"/>
  <cols>
    <col min="1" max="1" width="71.7109375" style="194" customWidth="1"/>
    <col min="2" max="2" width="19.85546875" style="194" customWidth="1"/>
    <col min="3" max="3" width="11.140625" style="194" customWidth="1"/>
    <col min="4" max="4" width="49.7109375" style="194" customWidth="1"/>
    <col min="5" max="5" width="11.85546875" style="194" customWidth="1"/>
    <col min="6" max="6" width="49.7109375" style="194" customWidth="1"/>
    <col min="7" max="7" width="19.5703125" style="194" customWidth="1"/>
    <col min="8" max="8" width="52.5703125" style="194" customWidth="1"/>
    <col min="9" max="16384" width="9.140625" style="194"/>
  </cols>
  <sheetData>
    <row r="1" spans="1:10" s="192" customFormat="1" ht="32.25" thickBot="1" x14ac:dyDescent="0.3">
      <c r="A1" s="20" t="s">
        <v>2</v>
      </c>
      <c r="B1" s="21" t="s">
        <v>0</v>
      </c>
      <c r="C1" s="23" t="s">
        <v>55</v>
      </c>
      <c r="D1" s="21" t="s">
        <v>3</v>
      </c>
      <c r="E1" s="23" t="s">
        <v>22</v>
      </c>
      <c r="F1" s="21" t="s">
        <v>3</v>
      </c>
      <c r="G1" s="23" t="s">
        <v>14</v>
      </c>
      <c r="H1" s="21" t="s">
        <v>3</v>
      </c>
    </row>
    <row r="2" spans="1:10" ht="19.5" thickTop="1" thickBot="1" x14ac:dyDescent="0.4">
      <c r="A2" s="208" t="s">
        <v>86</v>
      </c>
      <c r="B2" s="24" t="s">
        <v>5</v>
      </c>
      <c r="C2" s="14">
        <v>100</v>
      </c>
      <c r="D2" s="193"/>
      <c r="E2" s="14">
        <v>100</v>
      </c>
      <c r="F2" s="193"/>
      <c r="G2" s="14">
        <v>100</v>
      </c>
      <c r="H2" s="193"/>
      <c r="J2" s="197"/>
    </row>
    <row r="3" spans="1:10" ht="19.5" thickTop="1" thickBot="1" x14ac:dyDescent="0.3">
      <c r="A3" s="209" t="s">
        <v>78</v>
      </c>
      <c r="B3" s="210" t="s">
        <v>79</v>
      </c>
      <c r="C3" s="14">
        <v>67.5</v>
      </c>
      <c r="D3" s="15" t="s">
        <v>49</v>
      </c>
      <c r="E3" s="14">
        <v>67.5</v>
      </c>
      <c r="F3" s="15" t="s">
        <v>49</v>
      </c>
      <c r="G3" s="14">
        <v>67.5</v>
      </c>
      <c r="H3" s="15" t="s">
        <v>49</v>
      </c>
    </row>
    <row r="4" spans="1:10" ht="16.5" thickTop="1" thickBot="1" x14ac:dyDescent="0.3">
      <c r="A4" s="209" t="s">
        <v>80</v>
      </c>
      <c r="B4" s="210" t="s">
        <v>5</v>
      </c>
      <c r="C4" s="14">
        <v>10</v>
      </c>
      <c r="D4" s="25" t="s">
        <v>48</v>
      </c>
      <c r="E4" s="14">
        <v>10</v>
      </c>
      <c r="F4" s="25" t="s">
        <v>48</v>
      </c>
      <c r="G4" s="14">
        <v>11.8</v>
      </c>
      <c r="H4" s="25" t="s">
        <v>65</v>
      </c>
    </row>
    <row r="5" spans="1:10" ht="19.5" thickTop="1" thickBot="1" x14ac:dyDescent="0.3">
      <c r="A5" s="209" t="s">
        <v>81</v>
      </c>
      <c r="B5" s="210" t="s">
        <v>79</v>
      </c>
      <c r="C5" s="14">
        <v>51.85</v>
      </c>
      <c r="D5" s="15" t="s">
        <v>48</v>
      </c>
      <c r="E5" s="14">
        <v>51.85</v>
      </c>
      <c r="F5" s="15" t="s">
        <v>48</v>
      </c>
      <c r="G5" s="14">
        <v>70</v>
      </c>
      <c r="H5" s="15" t="s">
        <v>69</v>
      </c>
    </row>
    <row r="6" spans="1:10" ht="19.5" thickTop="1" thickBot="1" x14ac:dyDescent="0.3">
      <c r="A6" s="209" t="s">
        <v>75</v>
      </c>
      <c r="B6" s="210" t="s">
        <v>24</v>
      </c>
      <c r="C6" s="14">
        <v>40</v>
      </c>
      <c r="D6" s="15" t="s">
        <v>74</v>
      </c>
      <c r="E6" s="14">
        <v>40</v>
      </c>
      <c r="F6" s="15" t="s">
        <v>74</v>
      </c>
      <c r="G6" s="14">
        <v>40</v>
      </c>
      <c r="H6" s="15" t="s">
        <v>74</v>
      </c>
    </row>
    <row r="7" spans="1:10" ht="19.5" thickTop="1" thickBot="1" x14ac:dyDescent="0.3">
      <c r="A7" s="209" t="s">
        <v>76</v>
      </c>
      <c r="B7" s="210" t="s">
        <v>26</v>
      </c>
      <c r="C7" s="14">
        <v>65.5</v>
      </c>
      <c r="D7" s="15" t="s">
        <v>74</v>
      </c>
      <c r="E7" s="14">
        <v>65.5</v>
      </c>
      <c r="F7" s="15" t="s">
        <v>74</v>
      </c>
      <c r="G7" s="14">
        <v>65.5</v>
      </c>
      <c r="H7" s="15" t="s">
        <v>74</v>
      </c>
    </row>
    <row r="8" spans="1:10" ht="19.5" thickTop="1" thickBot="1" x14ac:dyDescent="0.3">
      <c r="A8" s="209" t="s">
        <v>77</v>
      </c>
      <c r="B8" s="210" t="s">
        <v>25</v>
      </c>
      <c r="C8" s="14">
        <v>55</v>
      </c>
      <c r="D8" s="15" t="s">
        <v>74</v>
      </c>
      <c r="E8" s="14">
        <v>55</v>
      </c>
      <c r="F8" s="15" t="s">
        <v>74</v>
      </c>
      <c r="G8" s="14">
        <v>55</v>
      </c>
      <c r="H8" s="15" t="s">
        <v>74</v>
      </c>
    </row>
    <row r="9" spans="1:10" ht="19.5" thickTop="1" thickBot="1" x14ac:dyDescent="0.3">
      <c r="A9" s="209" t="s">
        <v>82</v>
      </c>
      <c r="B9" s="210" t="s">
        <v>27</v>
      </c>
      <c r="C9" s="14">
        <v>19.399999999999999</v>
      </c>
      <c r="D9" s="15" t="s">
        <v>70</v>
      </c>
      <c r="E9" s="14">
        <v>19.399999999999999</v>
      </c>
      <c r="F9" s="15" t="s">
        <v>70</v>
      </c>
      <c r="G9" s="14">
        <v>19.399999999999999</v>
      </c>
      <c r="H9" s="15" t="s">
        <v>70</v>
      </c>
    </row>
    <row r="10" spans="1:10" ht="19.5" thickTop="1" thickBot="1" x14ac:dyDescent="0.3">
      <c r="A10" s="209" t="s">
        <v>83</v>
      </c>
      <c r="B10" s="210" t="s">
        <v>24</v>
      </c>
      <c r="C10" s="14">
        <v>34.299999999999997</v>
      </c>
      <c r="D10" s="15" t="s">
        <v>71</v>
      </c>
      <c r="E10" s="14">
        <v>34.299999999999997</v>
      </c>
      <c r="F10" s="15" t="s">
        <v>71</v>
      </c>
      <c r="G10" s="14">
        <v>50</v>
      </c>
      <c r="H10" s="15" t="s">
        <v>71</v>
      </c>
    </row>
    <row r="11" spans="1:10" ht="19.5" thickTop="1" thickBot="1" x14ac:dyDescent="0.3">
      <c r="A11" s="209" t="s">
        <v>84</v>
      </c>
      <c r="B11" s="210" t="s">
        <v>26</v>
      </c>
      <c r="C11" s="14">
        <v>1.77</v>
      </c>
      <c r="D11" s="15" t="s">
        <v>72</v>
      </c>
      <c r="E11" s="14">
        <v>1.77</v>
      </c>
      <c r="F11" s="15" t="s">
        <v>72</v>
      </c>
      <c r="G11" s="14">
        <v>1.77</v>
      </c>
      <c r="H11" s="15" t="s">
        <v>72</v>
      </c>
    </row>
    <row r="12" spans="1:10" ht="19.5" thickTop="1" thickBot="1" x14ac:dyDescent="0.3">
      <c r="A12" s="211" t="s">
        <v>85</v>
      </c>
      <c r="B12" s="212" t="s">
        <v>25</v>
      </c>
      <c r="C12" s="14">
        <v>12.63</v>
      </c>
      <c r="D12" s="19" t="s">
        <v>73</v>
      </c>
      <c r="E12" s="14">
        <v>12.63</v>
      </c>
      <c r="F12" s="19" t="s">
        <v>73</v>
      </c>
      <c r="G12" s="14">
        <v>12.63</v>
      </c>
      <c r="H12" s="19" t="s">
        <v>73</v>
      </c>
    </row>
    <row r="13" spans="1:10" x14ac:dyDescent="0.25">
      <c r="A13" s="198"/>
      <c r="B13" s="198"/>
      <c r="C13" s="199"/>
      <c r="D13" s="8"/>
      <c r="E13" s="199"/>
      <c r="F13" s="8"/>
      <c r="G13" s="199"/>
      <c r="H13" s="8"/>
    </row>
    <row r="15" spans="1:10" x14ac:dyDescent="0.25">
      <c r="A15" s="197"/>
    </row>
  </sheetData>
  <sheetProtection sheet="1" objects="1" scenarios="1"/>
  <customSheetViews>
    <customSheetView guid="{120C81B3-8656-4BA4-9255-42267753A94D}" scale="110" showGridLines="0">
      <pane xSplit="2" ySplit="1" topLeftCell="C2" activePane="bottomRight" state="frozen"/>
      <selection pane="bottomRight" activeCell="C2" sqref="C2"/>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2FA0B-1A99-4A27-8ECD-F9B55121F1CB}">
  <sheetPr codeName="Sheet5"/>
  <dimension ref="A1:H14"/>
  <sheetViews>
    <sheetView showGridLines="0" zoomScaleNormal="100" workbookViewId="0">
      <selection activeCell="B2" sqref="B2"/>
    </sheetView>
  </sheetViews>
  <sheetFormatPr defaultColWidth="8.85546875" defaultRowHeight="15" x14ac:dyDescent="0.25"/>
  <cols>
    <col min="1" max="1" width="34.42578125" style="207" customWidth="1"/>
    <col min="2" max="2" width="18.5703125" style="165" customWidth="1"/>
    <col min="3" max="3" width="8.85546875" style="165"/>
    <col min="4" max="4" width="45.140625" style="165" customWidth="1"/>
    <col min="5" max="16384" width="8.85546875" style="165"/>
  </cols>
  <sheetData>
    <row r="1" spans="1:8" ht="15.75" thickBot="1" x14ac:dyDescent="0.3">
      <c r="A1" s="213" t="s">
        <v>101</v>
      </c>
      <c r="B1" s="214" t="s">
        <v>100</v>
      </c>
      <c r="C1" s="214" t="s">
        <v>0</v>
      </c>
      <c r="D1" s="215" t="s">
        <v>3</v>
      </c>
      <c r="E1" s="169"/>
      <c r="F1" s="169"/>
      <c r="G1" s="169"/>
      <c r="H1" s="169"/>
    </row>
    <row r="2" spans="1:8" ht="18.75" thickTop="1" thickBot="1" x14ac:dyDescent="0.3">
      <c r="A2" s="200" t="s">
        <v>1</v>
      </c>
      <c r="B2" s="14">
        <v>0.33</v>
      </c>
      <c r="C2" s="26" t="s">
        <v>59</v>
      </c>
      <c r="D2" s="201" t="s">
        <v>52</v>
      </c>
      <c r="E2" s="169"/>
      <c r="F2" s="169"/>
      <c r="G2" s="169"/>
      <c r="H2" s="169"/>
    </row>
    <row r="3" spans="1:8" ht="16.5" thickTop="1" thickBot="1" x14ac:dyDescent="0.3">
      <c r="A3" s="202" t="s">
        <v>98</v>
      </c>
      <c r="B3" s="14">
        <v>300</v>
      </c>
      <c r="C3" s="27" t="s">
        <v>23</v>
      </c>
      <c r="D3" s="203" t="s">
        <v>53</v>
      </c>
      <c r="E3" s="169"/>
      <c r="F3" s="169"/>
      <c r="G3" s="169"/>
      <c r="H3" s="169"/>
    </row>
    <row r="4" spans="1:8" ht="16.5" thickTop="1" thickBot="1" x14ac:dyDescent="0.3">
      <c r="A4" s="204" t="s">
        <v>99</v>
      </c>
      <c r="B4" s="14">
        <v>200</v>
      </c>
      <c r="C4" s="27" t="s">
        <v>23</v>
      </c>
      <c r="D4" s="203" t="s">
        <v>47</v>
      </c>
      <c r="E4" s="169"/>
      <c r="F4" s="169"/>
      <c r="G4" s="169"/>
      <c r="H4" s="169"/>
    </row>
    <row r="5" spans="1:8" ht="16.5" thickTop="1" thickBot="1" x14ac:dyDescent="0.3">
      <c r="A5" s="205" t="s">
        <v>89</v>
      </c>
      <c r="B5" s="29">
        <v>5</v>
      </c>
      <c r="C5" s="28" t="s">
        <v>23</v>
      </c>
      <c r="D5" s="206" t="s">
        <v>54</v>
      </c>
      <c r="E5" s="169"/>
      <c r="F5" s="169"/>
      <c r="G5" s="169"/>
      <c r="H5" s="169"/>
    </row>
    <row r="6" spans="1:8" x14ac:dyDescent="0.25">
      <c r="A6" s="194"/>
      <c r="B6" s="169"/>
      <c r="C6" s="169"/>
      <c r="D6" s="169"/>
      <c r="E6" s="169"/>
      <c r="F6" s="169"/>
      <c r="G6" s="169"/>
      <c r="H6" s="169"/>
    </row>
    <row r="7" spans="1:8" x14ac:dyDescent="0.25">
      <c r="A7" s="194"/>
      <c r="B7" s="169"/>
      <c r="C7" s="169"/>
      <c r="D7" s="169"/>
      <c r="E7" s="169"/>
      <c r="F7" s="169"/>
      <c r="G7" s="169"/>
      <c r="H7" s="169"/>
    </row>
    <row r="8" spans="1:8" x14ac:dyDescent="0.25">
      <c r="A8" s="194"/>
      <c r="B8" s="169"/>
      <c r="C8" s="169"/>
      <c r="D8" s="169"/>
      <c r="E8" s="169"/>
      <c r="F8" s="169"/>
      <c r="G8" s="169"/>
      <c r="H8" s="169"/>
    </row>
    <row r="9" spans="1:8" x14ac:dyDescent="0.25">
      <c r="A9" s="194"/>
      <c r="B9" s="169"/>
      <c r="C9" s="169"/>
      <c r="D9" s="169"/>
      <c r="E9" s="169"/>
      <c r="F9" s="169"/>
      <c r="G9" s="169"/>
      <c r="H9" s="169"/>
    </row>
    <row r="10" spans="1:8" x14ac:dyDescent="0.25">
      <c r="A10" s="194"/>
      <c r="B10" s="169"/>
      <c r="C10" s="169"/>
      <c r="D10" s="169"/>
      <c r="E10" s="169"/>
      <c r="F10" s="169"/>
      <c r="G10" s="169"/>
      <c r="H10" s="169"/>
    </row>
    <row r="11" spans="1:8" x14ac:dyDescent="0.25">
      <c r="A11" s="194"/>
      <c r="B11" s="169"/>
      <c r="C11" s="169"/>
      <c r="D11" s="169"/>
      <c r="E11" s="169"/>
      <c r="F11" s="169"/>
      <c r="G11" s="169"/>
      <c r="H11" s="169"/>
    </row>
    <row r="12" spans="1:8" x14ac:dyDescent="0.25">
      <c r="A12" s="194"/>
      <c r="B12" s="169"/>
      <c r="C12" s="169"/>
      <c r="D12" s="169"/>
      <c r="E12" s="169"/>
      <c r="F12" s="169"/>
      <c r="G12" s="169"/>
      <c r="H12" s="169"/>
    </row>
    <row r="13" spans="1:8" x14ac:dyDescent="0.25">
      <c r="A13" s="194"/>
      <c r="B13" s="169"/>
      <c r="C13" s="169"/>
      <c r="D13" s="169"/>
      <c r="E13" s="169"/>
      <c r="F13" s="169"/>
      <c r="G13" s="169"/>
      <c r="H13" s="169"/>
    </row>
    <row r="14" spans="1:8" x14ac:dyDescent="0.25">
      <c r="A14" s="194"/>
      <c r="B14" s="169"/>
      <c r="C14" s="169"/>
      <c r="D14" s="169"/>
      <c r="E14" s="169"/>
      <c r="F14" s="169"/>
      <c r="G14" s="169"/>
      <c r="H14" s="169"/>
    </row>
  </sheetData>
  <sheetProtection sheet="1" objects="1" scenarios="1"/>
  <customSheetViews>
    <customSheetView guid="{120C81B3-8656-4BA4-9255-42267753A94D}">
      <selection activeCell="B2" sqref="B2"/>
      <pageMargins left="0.7" right="0.7" top="0.75" bottom="0.75" header="0.3" footer="0.3"/>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51"/>
  <sheetViews>
    <sheetView showGridLines="0" tabSelected="1" zoomScaleNormal="100" zoomScaleSheetLayoutView="100" workbookViewId="0">
      <selection activeCell="C2" sqref="C2"/>
    </sheetView>
  </sheetViews>
  <sheetFormatPr defaultColWidth="9.140625" defaultRowHeight="15" x14ac:dyDescent="0.25"/>
  <cols>
    <col min="1" max="1" width="17.5703125" style="176" customWidth="1"/>
    <col min="2" max="2" width="46.140625" style="176" customWidth="1"/>
    <col min="3" max="3" width="21.28515625" style="172" customWidth="1"/>
    <col min="4" max="4" width="7.7109375" style="190" customWidth="1"/>
    <col min="5" max="5" width="21.42578125" style="172" customWidth="1"/>
    <col min="6" max="6" width="12" style="190" customWidth="1"/>
    <col min="7" max="7" width="21.140625" style="172" customWidth="1"/>
    <col min="8" max="8" width="11.140625" style="190" customWidth="1"/>
    <col min="9" max="9" width="7.7109375" style="174" customWidth="1"/>
    <col min="10" max="10" width="9.140625" style="176" customWidth="1"/>
    <col min="11" max="19" width="9.140625" style="176"/>
    <col min="20" max="16384" width="9.140625" style="177"/>
  </cols>
  <sheetData>
    <row r="1" spans="1:27" s="165" customFormat="1" ht="15.75" thickBot="1" x14ac:dyDescent="0.3">
      <c r="A1" s="162"/>
      <c r="B1" s="44" t="s">
        <v>38</v>
      </c>
      <c r="C1" s="48" t="s">
        <v>92</v>
      </c>
      <c r="D1" s="48"/>
      <c r="E1" s="48" t="s">
        <v>93</v>
      </c>
      <c r="F1" s="48"/>
      <c r="G1" s="48" t="s">
        <v>94</v>
      </c>
      <c r="H1" s="48"/>
      <c r="I1" s="163"/>
      <c r="J1" s="164"/>
      <c r="K1" s="162"/>
      <c r="L1" s="162"/>
      <c r="M1" s="162"/>
      <c r="N1" s="162"/>
      <c r="O1" s="162"/>
      <c r="P1" s="162"/>
      <c r="Q1" s="162"/>
      <c r="R1" s="162"/>
      <c r="S1" s="162"/>
    </row>
    <row r="2" spans="1:27" s="165" customFormat="1" ht="18.75" thickTop="1" thickBot="1" x14ac:dyDescent="0.3">
      <c r="A2" s="162"/>
      <c r="B2" s="49" t="s">
        <v>39</v>
      </c>
      <c r="C2" s="38"/>
      <c r="D2" s="46" t="s">
        <v>58</v>
      </c>
      <c r="E2" s="38"/>
      <c r="F2" s="50" t="s">
        <v>44</v>
      </c>
      <c r="G2" s="38"/>
      <c r="H2" s="50" t="s">
        <v>44</v>
      </c>
      <c r="I2" s="166"/>
      <c r="J2" s="162"/>
      <c r="K2" s="162"/>
      <c r="L2" s="162"/>
      <c r="M2" s="162"/>
      <c r="N2" s="162"/>
      <c r="O2" s="162"/>
      <c r="P2" s="162"/>
      <c r="Q2" s="162"/>
      <c r="R2" s="162"/>
      <c r="S2" s="162"/>
    </row>
    <row r="3" spans="1:27" s="169" customFormat="1" ht="16.5" thickTop="1" thickBot="1" x14ac:dyDescent="0.3">
      <c r="A3" s="167"/>
      <c r="B3" s="50"/>
      <c r="C3" s="50"/>
      <c r="D3" s="50"/>
      <c r="E3" s="50"/>
      <c r="F3" s="50"/>
      <c r="G3" s="50"/>
      <c r="H3" s="50"/>
      <c r="I3" s="166"/>
      <c r="J3" s="168"/>
      <c r="K3" s="167"/>
      <c r="L3" s="167"/>
      <c r="M3" s="167"/>
      <c r="N3" s="167"/>
      <c r="O3" s="167"/>
      <c r="P3" s="167"/>
      <c r="Q3" s="167"/>
      <c r="R3" s="167"/>
      <c r="S3" s="167"/>
      <c r="T3" s="167"/>
    </row>
    <row r="4" spans="1:27" s="169" customFormat="1" ht="15.75" thickBot="1" x14ac:dyDescent="0.3">
      <c r="B4" s="41" t="s">
        <v>97</v>
      </c>
      <c r="C4" s="43" t="s">
        <v>90</v>
      </c>
      <c r="D4" s="43"/>
      <c r="E4" s="43" t="s">
        <v>91</v>
      </c>
      <c r="F4" s="43"/>
      <c r="G4" s="42" t="s">
        <v>95</v>
      </c>
      <c r="H4" s="11"/>
      <c r="I4" s="167"/>
      <c r="J4" s="167"/>
      <c r="K4" s="167"/>
      <c r="L4" s="166"/>
      <c r="M4" s="167"/>
      <c r="N4" s="167"/>
      <c r="O4" s="167"/>
      <c r="P4" s="166"/>
      <c r="Q4" s="168"/>
      <c r="R4" s="167"/>
      <c r="S4" s="167"/>
      <c r="T4" s="167"/>
      <c r="U4" s="167"/>
      <c r="V4" s="167"/>
      <c r="W4" s="167"/>
      <c r="X4" s="167"/>
      <c r="Y4" s="167"/>
      <c r="Z4" s="167"/>
      <c r="AA4" s="167"/>
    </row>
    <row r="5" spans="1:27" s="169" customFormat="1" ht="15.75" thickBot="1" x14ac:dyDescent="0.3">
      <c r="B5" s="39" t="s">
        <v>87</v>
      </c>
      <c r="C5" s="40"/>
      <c r="D5" s="45"/>
      <c r="E5" s="40"/>
      <c r="F5" s="45"/>
      <c r="G5" s="40"/>
      <c r="H5" s="10"/>
    </row>
    <row r="6" spans="1:27" s="169" customFormat="1" ht="16.5" thickTop="1" thickBot="1" x14ac:dyDescent="0.3">
      <c r="B6" s="35" t="s">
        <v>37</v>
      </c>
      <c r="C6" s="38"/>
      <c r="D6" s="45"/>
      <c r="E6" s="38"/>
      <c r="F6" s="45"/>
      <c r="G6" s="38"/>
      <c r="H6" s="10"/>
    </row>
    <row r="7" spans="1:27" s="169" customFormat="1" ht="16.5" thickTop="1" thickBot="1" x14ac:dyDescent="0.3">
      <c r="B7" s="35" t="s">
        <v>88</v>
      </c>
      <c r="C7" s="38"/>
      <c r="D7" s="46"/>
      <c r="E7" s="38"/>
      <c r="F7" s="45"/>
      <c r="G7" s="38"/>
      <c r="H7" s="10"/>
    </row>
    <row r="8" spans="1:27" s="169" customFormat="1" ht="16.5" thickTop="1" thickBot="1" x14ac:dyDescent="0.3">
      <c r="B8" s="36" t="s">
        <v>89</v>
      </c>
      <c r="C8" s="38"/>
      <c r="D8" s="46"/>
      <c r="E8" s="38"/>
      <c r="F8" s="45"/>
      <c r="G8" s="38"/>
      <c r="H8" s="10"/>
    </row>
    <row r="9" spans="1:27" s="169" customFormat="1" ht="16.5" thickTop="1" thickBot="1" x14ac:dyDescent="0.3">
      <c r="B9" s="37" t="s">
        <v>96</v>
      </c>
      <c r="C9" s="191">
        <f>IF(SUM(C5:C8)&lt;=100,SUM(C5:C8),"Total must be &lt;/=100%")</f>
        <v>0</v>
      </c>
      <c r="D9" s="47"/>
      <c r="E9" s="191">
        <f>IF(SUM(E5:E8)&lt;=100,SUM(E5:E8),"Total must be &lt;/=100%")</f>
        <v>0</v>
      </c>
      <c r="F9" s="47"/>
      <c r="G9" s="191">
        <f>IF(SUM(G5:G8)&lt;=100,SUM(G5:G8),"Total must be &lt;/=100%")</f>
        <v>0</v>
      </c>
      <c r="H9" s="10"/>
    </row>
    <row r="10" spans="1:27" s="169" customFormat="1" x14ac:dyDescent="0.25">
      <c r="B10" s="163"/>
      <c r="C10" s="163"/>
      <c r="D10" s="170"/>
      <c r="E10" s="163"/>
      <c r="F10" s="170"/>
      <c r="G10" s="163"/>
    </row>
    <row r="11" spans="1:27" s="171" customFormat="1" ht="15.75" thickBot="1" x14ac:dyDescent="0.3">
      <c r="I11" s="172"/>
      <c r="J11" s="172"/>
      <c r="K11" s="172"/>
      <c r="L11" s="172"/>
      <c r="M11" s="172"/>
      <c r="N11" s="172"/>
      <c r="O11" s="172"/>
    </row>
    <row r="12" spans="1:27" ht="18" customHeight="1" x14ac:dyDescent="0.3">
      <c r="A12" s="120" t="s">
        <v>145</v>
      </c>
      <c r="B12" s="54" t="s">
        <v>60</v>
      </c>
      <c r="C12" s="55" t="str">
        <f>IF(C2&gt;0,IF(AND(C5&gt;0,SUM(C5:C8)&lt;=100),(C2*(C5/100)*1000)*(WasteQuality!C3/(10^9))*(WasteQuality!C4/100)*(TreatmentProcesses!C2/100)*WasteQuality!C12*(100/60),""),"")</f>
        <v/>
      </c>
      <c r="D12" s="78"/>
      <c r="E12" s="55" t="str">
        <f>IF(E2&gt;0,IF(AND(E5&gt;0,SUM(E5:E8)&lt;=100),(E2*(E5/100))*(WasteQuality!E2/100)*(WasteQuality!E4/100)*(TreatmentProcesses!E2/100)*WasteQuality!E12*(100/60),""),"")</f>
        <v/>
      </c>
      <c r="F12" s="78"/>
      <c r="G12" s="79" t="str">
        <f>IF(G2&gt;0,IF(AND(G5&gt;0,SUM(G5:G8)&lt;=100),(G2*(G5/100))*(WasteQuality!G2/100)*(WasteQuality!G4/100)*(TreatmentProcesses!G2/100)*WasteQuality!G12*(100/60),""),"")</f>
        <v/>
      </c>
      <c r="H12" s="173"/>
      <c r="J12" s="175"/>
    </row>
    <row r="13" spans="1:27" x14ac:dyDescent="0.25">
      <c r="A13" s="121"/>
      <c r="B13" s="57" t="s">
        <v>113</v>
      </c>
      <c r="C13" s="58" t="str">
        <f>IF(C2&gt;0,IF(AND(C5&gt;0,SUM(C5:C8)&lt;=100),C12*21.6,""),"")</f>
        <v/>
      </c>
      <c r="D13" s="56"/>
      <c r="E13" s="58" t="str">
        <f>IF(E2&gt;0,IF(AND(E5&gt;0,SUM(E5:E8)&lt;=100),E12*21.6,""),"")</f>
        <v/>
      </c>
      <c r="F13" s="56"/>
      <c r="G13" s="80" t="str">
        <f>IF(G2&gt;0,IF(AND(G5&gt;0,SUM(G5:G8)&lt;=100),G12*21.6,""),"")</f>
        <v/>
      </c>
      <c r="H13" s="173"/>
    </row>
    <row r="14" spans="1:27" ht="15.75" thickBot="1" x14ac:dyDescent="0.3">
      <c r="A14" s="121"/>
      <c r="B14" s="59" t="s">
        <v>114</v>
      </c>
      <c r="C14" s="58" t="str">
        <f>IF($C$2&gt;0,IF(AND(C5&gt;0,SUM(C5:C8)&lt;=100),C12*6,""),"")</f>
        <v/>
      </c>
      <c r="D14" s="56"/>
      <c r="E14" s="58" t="str">
        <f>IF($C$2&gt;0,IF(AND(E5&gt;0,SUM(E5:E8)&lt;=100),E12*6,""),"")</f>
        <v/>
      </c>
      <c r="F14" s="56"/>
      <c r="G14" s="80" t="str">
        <f>IF($C$2&gt;0,IF(AND(G5&gt;0,SUM(G5:G8)&lt;=100),G12*6,""),"")</f>
        <v/>
      </c>
      <c r="H14" s="173"/>
    </row>
    <row r="15" spans="1:27" ht="15.75" thickBot="1" x14ac:dyDescent="0.3">
      <c r="A15" s="121"/>
      <c r="B15" s="59" t="s">
        <v>116</v>
      </c>
      <c r="C15" s="56" t="str">
        <f>IF(C2&gt;0,IF(AND(C5&gt;0,SUM(C5:C8)&lt;=100),C12*Prices!$B$2,""),"")</f>
        <v/>
      </c>
      <c r="D15" s="60"/>
      <c r="E15" s="56" t="str">
        <f>IF(E2&gt;0,IF(AND(E5&gt;0,SUM(E5:E8)&lt;=100),E12*Prices!$B$2,""),"")</f>
        <v/>
      </c>
      <c r="F15" s="60"/>
      <c r="G15" s="86" t="str">
        <f>IF(G2&gt;0,IF(AND(G5&gt;0,SUM(G5:G8)&lt;=100),G12*Prices!$B$2,""),"")</f>
        <v/>
      </c>
      <c r="H15" s="178"/>
    </row>
    <row r="16" spans="1:27" x14ac:dyDescent="0.25">
      <c r="A16" s="121"/>
      <c r="B16" s="54" t="s">
        <v>115</v>
      </c>
      <c r="C16" s="87" t="str">
        <f>IF(C2&gt;0,IF(AND(C5&gt;0,SUM(C5:C8)&lt;=100),(C2*(C5/100)*1000)*(WasteQuality!C3/(10^9))*(1-(TreatmentProcesses!C3/100))*(1-(TreatmentProcesses!C9/100)),""),"")</f>
        <v/>
      </c>
      <c r="D16" s="88"/>
      <c r="E16" s="55" t="str">
        <f>IF(E2&gt;0,IF(AND(E5&gt;0,SUM(E5:E8)&lt;=100),(E2*(E5/100))*(WasteQuality!E2/100)*(1-(TreatmentProcesses!E3/100))*(1-(TreatmentProcesses!E9/100)),""),"")</f>
        <v/>
      </c>
      <c r="F16" s="88"/>
      <c r="G16" s="79" t="str">
        <f>IF(G2&gt;0,IF(AND(G5&gt;0,SUM(G5:G8)&lt;=100),(G2*(G5/100))*(WasteQuality!G2/100)*(1-(TreatmentProcesses!G3/100))*(1-(TreatmentProcesses!G9/100)),""),"")</f>
        <v/>
      </c>
      <c r="H16" s="178"/>
    </row>
    <row r="17" spans="1:12" ht="15.75" thickBot="1" x14ac:dyDescent="0.3">
      <c r="A17" s="121"/>
      <c r="B17" s="61" t="s">
        <v>117</v>
      </c>
      <c r="C17" s="89" t="str">
        <f>IF(C2&gt;0,IF(AND(C5&gt;0,SUM(C5:C8)&lt;=100),C16*Prices!$B$5,""),"")</f>
        <v/>
      </c>
      <c r="D17" s="60"/>
      <c r="E17" s="62" t="str">
        <f>IF(E2&gt;0,IF(AND(E5&gt;0,SUM(E5:E8)&lt;=100),E16*Prices!$B$5,""),"")</f>
        <v/>
      </c>
      <c r="F17" s="60"/>
      <c r="G17" s="81" t="str">
        <f>IF(G2&gt;0,IF(AND(G5&gt;0,SUM(G5:G8)&lt;=100),G16*Prices!$B$5,""),"")</f>
        <v/>
      </c>
      <c r="H17" s="178"/>
    </row>
    <row r="18" spans="1:12" x14ac:dyDescent="0.25">
      <c r="A18" s="121"/>
      <c r="B18" s="67" t="s">
        <v>118</v>
      </c>
      <c r="C18" s="90" t="str">
        <f>IF(C2&gt;0,IF(AND(C5&gt;0,SUM(C5:C8)&lt;=100),C19/C16,""),"")</f>
        <v/>
      </c>
      <c r="D18" s="60"/>
      <c r="E18" s="63" t="str">
        <f>IF(E2&gt;0,IF(AND(E5&gt;0,SUM(E5:E8)&lt;=100),E19/E16,""),"")</f>
        <v/>
      </c>
      <c r="F18" s="60"/>
      <c r="G18" s="82" t="str">
        <f>IF(G2&gt;0,IF(AND(G5&gt;0,SUM(G5:G8)&lt;=100),G19/G16,""),"")</f>
        <v/>
      </c>
      <c r="H18" s="178"/>
    </row>
    <row r="19" spans="1:12" x14ac:dyDescent="0.25">
      <c r="A19" s="121"/>
      <c r="B19" s="67" t="s">
        <v>61</v>
      </c>
      <c r="C19" s="89" t="str">
        <f>IF(C2&gt;0,IF(AND(C5&gt;0,SUM(C5:C8)&lt;=100),(C2*(C5/100)*1000*(WasteQuality!C5/(10^9))*(1-(TreatmentProcesses!C10/100))),""),"")</f>
        <v/>
      </c>
      <c r="D19" s="60"/>
      <c r="E19" s="62" t="str">
        <f>IF(E2&gt;0,IF(AND(E5&gt;0,SUM(E5:E8)&lt;=100),(E2*(E5/100))*(WasteQuality!E2/100)*(WasteQuality!E6/(10^6))*(1-(TreatmentProcesses!E10/100)),""),"")</f>
        <v/>
      </c>
      <c r="F19" s="60"/>
      <c r="G19" s="81" t="str">
        <f>IF(G2&gt;0,IF(AND(G5&gt;0,SUM(G5:G8)&lt;=100),(G2*(G5/100))*(WasteQuality!G2/100)*(WasteQuality!G6/(10^6))*(1-(TreatmentProcesses!G10/100)),""),"")</f>
        <v/>
      </c>
      <c r="H19" s="178"/>
    </row>
    <row r="20" spans="1:12" x14ac:dyDescent="0.25">
      <c r="A20" s="121"/>
      <c r="B20" s="67" t="s">
        <v>119</v>
      </c>
      <c r="C20" s="91" t="str">
        <f>IF(C2&gt;0,IF(AND(C5&gt;0,SUM(C5:C8)&lt;=100),C21/C16,""),"")</f>
        <v/>
      </c>
      <c r="D20" s="60"/>
      <c r="E20" s="64" t="str">
        <f>IF(E2&gt;0,IF(AND(E5&gt;0,SUM(E5:E8)&lt;=100),E21/E16,""),"")</f>
        <v/>
      </c>
      <c r="F20" s="60"/>
      <c r="G20" s="83" t="str">
        <f>IF(G2&gt;0,IF(AND(G5&gt;0,SUM(G5:G8)&lt;=100),G21/G16,""),"")</f>
        <v/>
      </c>
      <c r="H20" s="178"/>
    </row>
    <row r="21" spans="1:12" x14ac:dyDescent="0.25">
      <c r="A21" s="121"/>
      <c r="B21" s="67" t="s">
        <v>62</v>
      </c>
      <c r="C21" s="92" t="str">
        <f>IF(C2&gt;0,IF(AND(C5&gt;0,SUM(C5:C8)&lt;=100),(C2*(C5/100)*1000*(WasteQuality!C7/(10^9))*(1-(TreatmentProcesses!C11/100))),""),"")</f>
        <v/>
      </c>
      <c r="D21" s="60"/>
      <c r="E21" s="58" t="str">
        <f>IF(E2&gt;0,IF(AND(E5&gt;0,SUM(E5:E8)&lt;=100),(E2*(E5/100))*(WasteQuality!E2/100)*(WasteQuality!E8/(10^6))*(1-(TreatmentProcesses!E11/100)),""),"")</f>
        <v/>
      </c>
      <c r="F21" s="60"/>
      <c r="G21" s="80" t="str">
        <f>IF(G2&gt;0,IF(AND(G5&gt;0,SUM(G5:G8)&lt;=100),(G2*(G5/100))*(WasteQuality!G2/100)*(WasteQuality!G8/(10^6))*(1-(TreatmentProcesses!G11/100)),""),"")</f>
        <v/>
      </c>
      <c r="H21" s="178"/>
    </row>
    <row r="22" spans="1:12" x14ac:dyDescent="0.25">
      <c r="A22" s="121"/>
      <c r="B22" s="67" t="s">
        <v>120</v>
      </c>
      <c r="C22" s="90" t="str">
        <f>IF(C2&gt;0,IF(AND(C5&gt;0,SUM(C5:C8)&lt;=100),C23/C16,""),"")</f>
        <v/>
      </c>
      <c r="D22" s="60"/>
      <c r="E22" s="63" t="str">
        <f>IF(E2&gt;0,IF(AND(E5&gt;0,SUM(E5:E8)&lt;=100),E23/E16,""),"")</f>
        <v/>
      </c>
      <c r="F22" s="60"/>
      <c r="G22" s="82" t="str">
        <f>IF(G2&gt;0,IF(AND(G5&gt;0,SUM(G5:G8)&lt;=100),G23/G16,""),"")</f>
        <v/>
      </c>
      <c r="H22" s="178"/>
      <c r="I22" s="179"/>
      <c r="J22" s="180"/>
    </row>
    <row r="23" spans="1:12" ht="15.75" thickBot="1" x14ac:dyDescent="0.3">
      <c r="A23" s="121"/>
      <c r="B23" s="68" t="s">
        <v>63</v>
      </c>
      <c r="C23" s="93" t="str">
        <f>IF(C2&gt;0,IF(AND(C5&gt;0,SUM(C5:C8)&lt;=100),(C2*(C5/100)*1000*(WasteQuality!C9/(10^9))*(1-(TreatmentProcesses!C12/100))),""),"")</f>
        <v/>
      </c>
      <c r="D23" s="84"/>
      <c r="E23" s="66" t="str">
        <f>IF(E2&gt;0,IF(AND(E5&gt;0,SUM(E5:E8)&lt;=100),(E2*(E5/100))*(WasteQuality!E2/100)*(WasteQuality!E10/(10^6))*(1-(TreatmentProcesses!E12/100)),""),"")</f>
        <v/>
      </c>
      <c r="F23" s="84"/>
      <c r="G23" s="85" t="str">
        <f>IF(G2&gt;0,IF(AND(G5&gt;0,SUM(G5:G8)&lt;=100),(G2*(G5/100))*(WasteQuality!G2/100)*(WasteQuality!G10/(10^6))*(1-(TreatmentProcesses!G12/100)),""),"")</f>
        <v/>
      </c>
      <c r="H23" s="178"/>
    </row>
    <row r="24" spans="1:12" ht="15.75" thickBot="1" x14ac:dyDescent="0.3">
      <c r="A24" s="122"/>
      <c r="B24" s="65" t="s">
        <v>123</v>
      </c>
      <c r="C24" s="66" t="str">
        <f>IF(C2&gt;0,IF(AND(C5&gt;0,SUM(C5:C8)&lt;=100),C15+C17,""),"")</f>
        <v/>
      </c>
      <c r="D24" s="84"/>
      <c r="E24" s="66" t="str">
        <f>IF(E2&gt;0,IF(AND(E5&gt;0,SUM(E5:E8)&lt;=100),E15+E17,""),"")</f>
        <v/>
      </c>
      <c r="F24" s="84"/>
      <c r="G24" s="85" t="str">
        <f>IF(G2&gt;0,IF(AND(G5&gt;0,SUM(G5:G8)&lt;=100),G15+G17,""),"")</f>
        <v/>
      </c>
      <c r="H24" s="178"/>
    </row>
    <row r="25" spans="1:12" ht="15" customHeight="1" x14ac:dyDescent="0.25">
      <c r="A25" s="143" t="s">
        <v>124</v>
      </c>
      <c r="B25" s="51" t="s">
        <v>141</v>
      </c>
      <c r="C25" s="72" t="str">
        <f>IF(C2&gt;0,IF(AND(C6&gt;0,SUM(C5:C8)&lt;=100),(C2*(C6/100)*1000)*(WasteQuality!C3/(10^9)),""),"")</f>
        <v/>
      </c>
      <c r="D25" s="73"/>
      <c r="E25" s="72" t="str">
        <f>IF(E2&gt;0,IF(AND(E6&gt;0,SUM(E5:E8)&lt;=100),(E2*(E6/100))*(WasteQuality!E2/100),""),"")</f>
        <v/>
      </c>
      <c r="F25" s="73"/>
      <c r="G25" s="74" t="str">
        <f>IF(G2&gt;0,IF(AND(G6&gt;0,SUM(G5:G8)&lt;=100),(G2*(G6/100))*(WasteQuality!G2/100),""),"")</f>
        <v/>
      </c>
      <c r="H25" s="173"/>
      <c r="I25" s="181"/>
      <c r="K25" s="177"/>
    </row>
    <row r="26" spans="1:12" x14ac:dyDescent="0.25">
      <c r="A26" s="144"/>
      <c r="B26" s="52" t="s">
        <v>121</v>
      </c>
      <c r="C26" s="69" t="str">
        <f>IF(C2&gt;0,IF(AND(C6&gt;0,SUM(C5:C8)&lt;=100),(C2*(C6/100)*1000)*(WasteQuality!C3/(10^9))*1000*WasteQuality!C11,""),"")</f>
        <v/>
      </c>
      <c r="D26" s="70"/>
      <c r="E26" s="69" t="str">
        <f>IF(E2&gt;0,IF(AND(E6&gt;0,SUM(E5:E8)&lt;=100),(E2*(E6/100))*(WasteQuality!E2/100)*1000*WasteQuality!E11,""),"")</f>
        <v/>
      </c>
      <c r="F26" s="70"/>
      <c r="G26" s="75" t="str">
        <f>IF(G2&gt;0,IF(AND(G6&gt;0,SUM(G5:G8)&lt;=100),(G2*(G6/100))*(WasteQuality!G2/100)*1000*WasteQuality!G11,""),"")</f>
        <v/>
      </c>
      <c r="H26" s="173"/>
      <c r="J26" s="177"/>
      <c r="K26" s="177"/>
      <c r="L26" s="177"/>
    </row>
    <row r="27" spans="1:12" x14ac:dyDescent="0.25">
      <c r="A27" s="144"/>
      <c r="B27" s="71" t="s">
        <v>122</v>
      </c>
      <c r="C27" s="69" t="str">
        <f>IF(C2&gt;0,IF(AND(C6&gt;0,SUM(C5:C8)&lt;=100),(C2*(C6/100)*1000)*(WasteQuality!C3/(10^9))*1000*WasteQuality!C11*0.277778,""),"")</f>
        <v/>
      </c>
      <c r="D27" s="70"/>
      <c r="E27" s="69" t="str">
        <f>IF(E2&gt;0,IF(AND(E6&gt;0,SUM(E5:E8)&lt;=100),(E2*(E6/100))*(WasteQuality!E2/100)*1000*WasteQuality!E11*0.277778,""),"")</f>
        <v/>
      </c>
      <c r="F27" s="70"/>
      <c r="G27" s="75" t="str">
        <f>IF(G2&gt;0,IF(AND(G6&gt;0,SUM(G5:G8)&lt;=100),(G2*(G6/100))*(WasteQuality!G2/100)*1000*WasteQuality!G11*0.277778,""),"")</f>
        <v/>
      </c>
      <c r="H27" s="173"/>
      <c r="J27" s="177"/>
      <c r="K27" s="177"/>
      <c r="L27" s="177"/>
    </row>
    <row r="28" spans="1:12" ht="15.75" thickBot="1" x14ac:dyDescent="0.3">
      <c r="A28" s="145"/>
      <c r="B28" s="53" t="s">
        <v>125</v>
      </c>
      <c r="C28" s="76" t="str">
        <f>IF(C2&gt;0,IF(AND(C6&gt;0,SUM(C5:C8)&lt;=100),C25*Prices!$B$3,""),"")</f>
        <v/>
      </c>
      <c r="D28" s="76"/>
      <c r="E28" s="76" t="str">
        <f>IF(E2&gt;0,IF(AND(E6&gt;0,SUM(E5:E8)&lt;=100),E25*Prices!$B$3,""),"")</f>
        <v/>
      </c>
      <c r="F28" s="76"/>
      <c r="G28" s="77" t="str">
        <f>IF(G2&gt;0,IF(AND(G6&gt;0,SUM(G5:G8)&lt;=100),G25*Prices!$B$3,""),"")</f>
        <v/>
      </c>
      <c r="H28" s="173"/>
      <c r="J28" s="180"/>
    </row>
    <row r="29" spans="1:12" ht="15" customHeight="1" x14ac:dyDescent="0.25">
      <c r="A29" s="123" t="s">
        <v>142</v>
      </c>
      <c r="B29" s="94" t="s">
        <v>140</v>
      </c>
      <c r="C29" s="95" t="str">
        <f>IF(C2&gt;0,IF(AND(C7&gt;0,SUM(C5:C8)&lt;=100),(C2*(C7/100)*1000)*(WasteQuality!C3/(10^9))*(TreatmentProcesses!C4/100),""),"")</f>
        <v/>
      </c>
      <c r="D29" s="96"/>
      <c r="E29" s="95" t="str">
        <f>IF(E2&gt;0,IF(AND(E7&gt;0,SUM(E5:E8)&lt;=100),(E2*(E7/100))*(WasteQuality!E2/100)*(TreatmentProcesses!E4/100),""),"")</f>
        <v/>
      </c>
      <c r="F29" s="96"/>
      <c r="G29" s="97" t="str">
        <f>IF(G2&gt;0,IF(AND(G7&gt;0,SUM(G5:G8)&lt;=100),(G2*(G7/100))*(WasteQuality!G2/100)*(TreatmentProcesses!G4/100),""),"")</f>
        <v/>
      </c>
      <c r="H29" s="173"/>
    </row>
    <row r="30" spans="1:12" x14ac:dyDescent="0.25">
      <c r="A30" s="124"/>
      <c r="B30" s="98" t="s">
        <v>134</v>
      </c>
      <c r="C30" s="99" t="str">
        <f>IF(C2&gt;0,IF(AND(C7&gt;0,SUM(C5:C8)&lt;=100),C29*0.4,""),"")</f>
        <v/>
      </c>
      <c r="D30" s="100"/>
      <c r="E30" s="99" t="str">
        <f>IF(E2&gt;0,IF(AND(E7&gt;0,SUM(E5:E8)&lt;=100),E29*0.4,""),"")</f>
        <v/>
      </c>
      <c r="F30" s="100"/>
      <c r="G30" s="101" t="str">
        <f>IF(G2&gt;0,IF(AND(G7&gt;0,SUM(G5:G8)&lt;=100),G29*0.4,""),"")</f>
        <v/>
      </c>
      <c r="H30" s="173"/>
      <c r="I30" s="181"/>
      <c r="J30" s="180"/>
    </row>
    <row r="31" spans="1:12" x14ac:dyDescent="0.25">
      <c r="A31" s="124"/>
      <c r="B31" s="98" t="s">
        <v>135</v>
      </c>
      <c r="C31" s="99" t="str">
        <f>IF(C2&gt;0,IF(AND(C7&gt;0,SUM(C5:C8)&lt;=100),C29*0.3,""),"")</f>
        <v/>
      </c>
      <c r="D31" s="100"/>
      <c r="E31" s="99" t="str">
        <f>IF(E2&gt;0,IF(AND(E7&gt;0,SUM(E5:E8)&lt;=100),E29*0.3,""),"")</f>
        <v/>
      </c>
      <c r="F31" s="100"/>
      <c r="G31" s="101" t="str">
        <f>IF(G2&gt;0,IF(AND(G7&gt;0,SUM(G5:G8)&lt;=100),G29*0.3,""),"")</f>
        <v/>
      </c>
      <c r="H31" s="173"/>
      <c r="I31" s="181"/>
      <c r="J31" s="180"/>
    </row>
    <row r="32" spans="1:12" ht="15.75" thickBot="1" x14ac:dyDescent="0.3">
      <c r="A32" s="124"/>
      <c r="B32" s="102" t="s">
        <v>138</v>
      </c>
      <c r="C32" s="103" t="str">
        <f>IF(C2&gt;0,IF(AND(C7&gt;0,SUM(C5:C8)&lt;=100),C29*Prices!$B$4,""),"")</f>
        <v/>
      </c>
      <c r="D32" s="104"/>
      <c r="E32" s="103" t="str">
        <f>IF(E2&gt;0,IF(AND(E7&gt;0,SUM(E5:E8)&lt;=100),E29*Prices!$B$4,""),"")</f>
        <v/>
      </c>
      <c r="F32" s="104"/>
      <c r="G32" s="105" t="str">
        <f>IF(G2&gt;0,IF(AND(G7&gt;0,SUM(G5:G8)&lt;=100),G29*Prices!$B$4,""),"")</f>
        <v/>
      </c>
      <c r="H32" s="173"/>
    </row>
    <row r="33" spans="1:11" x14ac:dyDescent="0.25">
      <c r="A33" s="124"/>
      <c r="B33" s="94" t="s">
        <v>139</v>
      </c>
      <c r="C33" s="95" t="str">
        <f>IF(C2&gt;0,IF(AND(C7&gt;0,SUM(C5:C8)&lt;=100),(C2*(C7/100)*1000)*(WasteQuality!C3/(10^9))*(1-(TreatmentProcesses!C5/100))*(1-(TreatmentProcesses!C9/100)),""),"")</f>
        <v/>
      </c>
      <c r="D33" s="106"/>
      <c r="E33" s="95" t="str">
        <f>IF(E2&gt;0,IF(AND(E7&gt;0,SUM(E5:E8)&lt;=100),(E2*(E7/100))*(WasteQuality!E2/100)*(1-(TreatmentProcesses!E5/100))*(1-(TreatmentProcesses!E9/100)),""),"")</f>
        <v/>
      </c>
      <c r="F33" s="106"/>
      <c r="G33" s="97" t="str">
        <f>IF(G2&gt;0,IF(AND(G7&gt;0,SUM(G5:G8)&lt;=100),(G2*(G7/100))*(WasteQuality!G2/100)*(1-(TreatmentProcesses!G5/100))*(1-(TreatmentProcesses!G9/100)),""),"")</f>
        <v/>
      </c>
      <c r="H33" s="178"/>
    </row>
    <row r="34" spans="1:11" ht="15.75" thickBot="1" x14ac:dyDescent="0.3">
      <c r="A34" s="124"/>
      <c r="B34" s="102" t="s">
        <v>137</v>
      </c>
      <c r="C34" s="99" t="str">
        <f>IF(C2&gt;0,IF(AND(C7&gt;0,SUM(C5:C8)&lt;=100),C33*Prices!$B$5,""),"")</f>
        <v/>
      </c>
      <c r="D34" s="107"/>
      <c r="E34" s="99" t="str">
        <f>IF(E2&gt;0,IF(AND(E7&gt;0,SUM(E5:E8)&lt;=100),E33*Prices!$B$5,""),"")</f>
        <v/>
      </c>
      <c r="F34" s="107"/>
      <c r="G34" s="101" t="str">
        <f>IF(G2&gt;0,IF(AND(G7&gt;0,SUM(G5:G8)&lt;=100),G33*Prices!$B$5,""),"")</f>
        <v/>
      </c>
      <c r="H34" s="178"/>
    </row>
    <row r="35" spans="1:11" x14ac:dyDescent="0.25">
      <c r="A35" s="124"/>
      <c r="B35" s="156" t="s">
        <v>126</v>
      </c>
      <c r="C35" s="108" t="str">
        <f>IF(C2&gt;0,IF(AND(C7&gt;0,SUM(C5:C8)&lt;=100),C36/C33,""),"")</f>
        <v/>
      </c>
      <c r="D35" s="107"/>
      <c r="E35" s="108" t="str">
        <f>IF(E2&gt;0,IF(AND(E7&gt;0,SUM(E5:E8)&lt;=100),E36/E33,""),"")</f>
        <v/>
      </c>
      <c r="F35" s="107"/>
      <c r="G35" s="109" t="str">
        <f>IF(G2&gt;0,IF(AND(G7&gt;0,SUM(G5:G8)&lt;=100),G36/G33,""),"")</f>
        <v/>
      </c>
      <c r="H35" s="178"/>
    </row>
    <row r="36" spans="1:11" x14ac:dyDescent="0.25">
      <c r="A36" s="124"/>
      <c r="B36" s="156" t="s">
        <v>61</v>
      </c>
      <c r="C36" s="110" t="str">
        <f>IF(C2&gt;0,IF(AND(C7&gt;0,SUM(C5:C8)&lt;=100),(C2*(C7/100)*1000)*(WasteQuality!C5/(10^9))*(1-(TreatmentProcesses!C6/100))*(1-(TreatmentProcesses!C10/100)),""),"")</f>
        <v/>
      </c>
      <c r="D36" s="107"/>
      <c r="E36" s="110" t="str">
        <f>IF(E2&gt;0,IF(AND(E7&gt;0,SUM(E5:E8)&lt;=100),(E2*(E7/100))*(WasteQuality!E2/100)*(WasteQuality!E6/(10^6))*(1-(TreatmentProcesses!E6/100))*(1-(TreatmentProcesses!E10/100)),""),"")</f>
        <v/>
      </c>
      <c r="F36" s="107"/>
      <c r="G36" s="111" t="str">
        <f>IF(G2&gt;0,IF(AND(G7&gt;0,SUM(G5:G8)&lt;=100),(G2*(G7/100))*(WasteQuality!G2/100)*(WasteQuality!G6/(10^6))*(1-(TreatmentProcesses!G6/100))*(1-(TreatmentProcesses!G10/100)),""),"")</f>
        <v/>
      </c>
      <c r="H36" s="178"/>
      <c r="J36" s="182"/>
    </row>
    <row r="37" spans="1:11" x14ac:dyDescent="0.25">
      <c r="A37" s="124"/>
      <c r="B37" s="156" t="s">
        <v>127</v>
      </c>
      <c r="C37" s="108" t="str">
        <f>IF(C2&gt;0,IF(AND(C7&gt;0,SUM(C5:C8)&lt;=100),C38/C33,""),"")</f>
        <v/>
      </c>
      <c r="D37" s="107"/>
      <c r="E37" s="108" t="str">
        <f>IF(E2&gt;0,IF(AND(E7&gt;0,SUM(E5:E8)&lt;=100),E38/E33,""),"")</f>
        <v/>
      </c>
      <c r="F37" s="107"/>
      <c r="G37" s="109" t="str">
        <f>IF(G2&gt;0,IF(AND(G7&gt;0,SUM(G5:G8)&lt;=100),G38/G33,""),"")</f>
        <v/>
      </c>
      <c r="H37" s="178"/>
    </row>
    <row r="38" spans="1:11" x14ac:dyDescent="0.25">
      <c r="A38" s="124"/>
      <c r="B38" s="156" t="s">
        <v>62</v>
      </c>
      <c r="C38" s="110" t="str">
        <f>IF(C2&gt;0,IF(AND(C7&gt;0,SUM(C5:C8)&lt;=100),(C2*(C7/100)*1000)*(WasteQuality!C7/(10^9))*(1-(TreatmentProcesses!C7/100))*(1-(TreatmentProcesses!C11/100)),""),"")</f>
        <v/>
      </c>
      <c r="D38" s="107"/>
      <c r="E38" s="110" t="str">
        <f>IF(E2&gt;0,IF(AND(E7&gt;0,SUM(E5:E8)&lt;=100),(E2*(E7/100))*(WasteQuality!E2/100)*(WasteQuality!E8/(10^6))*(1-(TreatmentProcesses!E7/100))*(1-(TreatmentProcesses!E11/100)),""),"")</f>
        <v/>
      </c>
      <c r="F38" s="107"/>
      <c r="G38" s="111" t="str">
        <f>IF(G2&gt;0,IF(AND(G7&gt;0,SUM(G5:G8)&lt;=100),(G2*(G7/100))*(WasteQuality!G2/100)*(WasteQuality!G8/(10^6))*(1-(TreatmentProcesses!G7/100))*(1-(TreatmentProcesses!G11/100)),""),"")</f>
        <v/>
      </c>
      <c r="H38" s="178"/>
    </row>
    <row r="39" spans="1:11" x14ac:dyDescent="0.25">
      <c r="A39" s="124"/>
      <c r="B39" s="156" t="s">
        <v>128</v>
      </c>
      <c r="C39" s="108" t="str">
        <f>IF(C2&gt;0,IF(AND(C7&gt;0,SUM(C5:C8)&lt;=100),C40/C33,""),"")</f>
        <v/>
      </c>
      <c r="D39" s="107"/>
      <c r="E39" s="108" t="str">
        <f>IF(E2&gt;0,IF(AND(E7&gt;0,SUM(E5:E8)&lt;=100),E40/E33,""),"")</f>
        <v/>
      </c>
      <c r="F39" s="107"/>
      <c r="G39" s="109" t="str">
        <f>IF(G2&gt;0,IF(AND(G7&gt;0,SUM(G5:G8)&lt;=100),G40/G33,""),"")</f>
        <v/>
      </c>
      <c r="H39" s="178"/>
    </row>
    <row r="40" spans="1:11" ht="15.75" thickBot="1" x14ac:dyDescent="0.3">
      <c r="A40" s="124"/>
      <c r="B40" s="157" t="s">
        <v>63</v>
      </c>
      <c r="C40" s="112" t="str">
        <f>IF(C2&gt;0,IF(AND(C7&gt;0,SUM(C5:C8)&lt;=100),(C2*(C7/100)*1000)*(WasteQuality!C9/(10^9))*(1-(TreatmentProcesses!C8/100))*(1-(TreatmentProcesses!C12/100)),""),"")</f>
        <v/>
      </c>
      <c r="D40" s="107"/>
      <c r="E40" s="112" t="str">
        <f>IF(E2&gt;0,IF(AND(E7&gt;0,SUM(E5:E8)&lt;=100),(E2*(E7/100))*(WasteQuality!E2/100)*(WasteQuality!E10/(10^6))*(1-(TreatmentProcesses!E8/100))*(1-(TreatmentProcesses!E12/100)),""),"")</f>
        <v/>
      </c>
      <c r="F40" s="107"/>
      <c r="G40" s="113" t="str">
        <f>IF(G2&gt;0,IF(AND(G7&gt;0,SUM(G5:G8)&lt;=100),(G2*(G7/100))*(WasteQuality!G2/100)*(WasteQuality!G10/(10^6))*(1-(TreatmentProcesses!G8/100))*(1-(TreatmentProcesses!G12/100)),""),"")</f>
        <v/>
      </c>
      <c r="H40" s="178"/>
      <c r="J40" s="183"/>
      <c r="K40" s="183"/>
    </row>
    <row r="41" spans="1:11" ht="15.75" thickBot="1" x14ac:dyDescent="0.3">
      <c r="A41" s="125"/>
      <c r="B41" s="114" t="s">
        <v>136</v>
      </c>
      <c r="C41" s="115" t="str">
        <f>IF(C2&gt;0,IF(AND(C7&gt;0,SUM(C5:C8)&lt;=100),C32+C34,""),"")</f>
        <v/>
      </c>
      <c r="D41" s="116"/>
      <c r="E41" s="115" t="str">
        <f>IF(E2&gt;0,IF(AND(E7&gt;0,SUM(E5:E8)&lt;=100),E32+E34,""),"")</f>
        <v/>
      </c>
      <c r="F41" s="116"/>
      <c r="G41" s="117" t="str">
        <f>IF(G2&gt;0,IF(AND(G7&gt;0,SUM(G5:G8)&lt;=100),G32+G34,""),"")</f>
        <v/>
      </c>
      <c r="H41" s="178"/>
    </row>
    <row r="42" spans="1:11" ht="15" customHeight="1" x14ac:dyDescent="0.25">
      <c r="A42" s="146" t="s">
        <v>112</v>
      </c>
      <c r="B42" s="141" t="s">
        <v>133</v>
      </c>
      <c r="C42" s="126" t="str">
        <f>IF(C2&gt;0,IF(AND(C8&gt;0,SUM(C5:C8)&lt;=100),(C2*(C8/100)*1000)*(WasteQuality!C3/(10^9))*(1-(TreatmentProcesses!C9/100)),""),"")</f>
        <v/>
      </c>
      <c r="D42" s="127"/>
      <c r="E42" s="126" t="str">
        <f>IF(E2&gt;0,IF(AND(E8&gt;0,SUM(E5:E8)&lt;=100),(E2*(E8/100))*(WasteQuality!E2/100)*(1-(TreatmentProcesses!E9/100)),""),"")</f>
        <v/>
      </c>
      <c r="F42" s="127"/>
      <c r="G42" s="128" t="str">
        <f>IF(G2&gt;0,IF(AND(G8&gt;0,SUM(G5:G8)&lt;=100),(G2*(G8/100))*(WasteQuality!G2/100)*(1-(TreatmentProcesses!G9/100)),""),"")</f>
        <v/>
      </c>
      <c r="H42" s="173"/>
      <c r="I42" s="181"/>
    </row>
    <row r="43" spans="1:11" ht="15.75" thickBot="1" x14ac:dyDescent="0.3">
      <c r="A43" s="147"/>
      <c r="B43" s="142" t="s">
        <v>132</v>
      </c>
      <c r="C43" s="129" t="str">
        <f>IF(C2&gt;0,IF(AND(C8&gt;0,SUM(C5:C8)&lt;=100),C42*Prices!$B$5,""),"")</f>
        <v/>
      </c>
      <c r="D43" s="130"/>
      <c r="E43" s="129" t="str">
        <f>IF(E2&gt;0,IF(AND(E8&gt;0,SUM(E5:E8)&lt;=100),E42*Prices!$B$5,""),"")</f>
        <v/>
      </c>
      <c r="F43" s="130"/>
      <c r="G43" s="131" t="str">
        <f>IF(G2&gt;0,IF(AND(G8&gt;0,SUM(G5:G8)&lt;=100),G42*Prices!$B$5,""),"")</f>
        <v/>
      </c>
      <c r="H43" s="178"/>
    </row>
    <row r="44" spans="1:11" x14ac:dyDescent="0.25">
      <c r="A44" s="147"/>
      <c r="B44" s="158" t="s">
        <v>129</v>
      </c>
      <c r="C44" s="132" t="str">
        <f>IF(C2&gt;0,IF(AND(C8&gt;0,SUM(C5:C8)&lt;=100),C45/C42,""),"")</f>
        <v/>
      </c>
      <c r="D44" s="133"/>
      <c r="E44" s="132" t="str">
        <f>IF(E2&gt;0,IF(AND(E8&gt;0,SUM(E5:E8)&lt;=100),E45/E42,""),"")</f>
        <v/>
      </c>
      <c r="F44" s="133"/>
      <c r="G44" s="134" t="str">
        <f>IF(G2&gt;0,IF(AND(G8&gt;0,SUM(G5:G8)&lt;=100),G45/G42,""),"")</f>
        <v/>
      </c>
      <c r="H44" s="184"/>
    </row>
    <row r="45" spans="1:11" x14ac:dyDescent="0.25">
      <c r="A45" s="147"/>
      <c r="B45" s="158" t="s">
        <v>61</v>
      </c>
      <c r="C45" s="135" t="str">
        <f>IF(C2&gt;0,IF(AND(C8&gt;0,SUM(C5:C8)&lt;=100),(C2*(C8/100)*1000*(WasteQuality!C5/(10^9))*(1-(TreatmentProcesses!C10/100))),""),"")</f>
        <v/>
      </c>
      <c r="D45" s="136"/>
      <c r="E45" s="135" t="str">
        <f>IF(E2&gt;0,IF(AND(E8&gt;0,SUM(E5:E8)&lt;=100),(E2*(E8/100)*(WasteQuality!E2/100)*(WasteQuality!E6/(10^6))*(1-(TreatmentProcesses!E10/100))),""),"")</f>
        <v/>
      </c>
      <c r="F45" s="136"/>
      <c r="G45" s="137" t="str">
        <f>IF(G2&gt;0,IF(AND(G8&gt;0,SUM(G5:G8)&lt;=100),(G2*(G8/100)*(WasteQuality!G2/100)*(WasteQuality!G6/(10^6))*(1-(TreatmentProcesses!G10/100))),""),"")</f>
        <v/>
      </c>
      <c r="H45" s="173"/>
    </row>
    <row r="46" spans="1:11" x14ac:dyDescent="0.25">
      <c r="A46" s="147"/>
      <c r="B46" s="158" t="s">
        <v>130</v>
      </c>
      <c r="C46" s="132" t="str">
        <f>IF(C2&gt;0,IF(AND(C8&gt;0,SUM(C5:C8)&lt;=100),C47/C42,""),"")</f>
        <v/>
      </c>
      <c r="D46" s="133"/>
      <c r="E46" s="132" t="str">
        <f>IF(E2&gt;0,IF(AND(E8&gt;0,SUM(E5:E8)&lt;=100),E47/E42,""),"")</f>
        <v/>
      </c>
      <c r="F46" s="133"/>
      <c r="G46" s="134" t="str">
        <f>IF(G2&gt;0,IF(AND(G8&gt;0,SUM(G5:G8)&lt;=100),G47/G42,""),"")</f>
        <v/>
      </c>
      <c r="H46" s="184"/>
    </row>
    <row r="47" spans="1:11" x14ac:dyDescent="0.25">
      <c r="A47" s="147"/>
      <c r="B47" s="158" t="s">
        <v>62</v>
      </c>
      <c r="C47" s="135" t="str">
        <f>IF(C2&gt;0,IF(AND(C8&gt;0,SUM(C5:C8)&lt;=100),(C2*(C8/100)*1000*(WasteQuality!C7/(10^9))*(1-(TreatmentProcesses!C11/100))),""),"")</f>
        <v/>
      </c>
      <c r="D47" s="136"/>
      <c r="E47" s="135" t="str">
        <f>IF(E2&gt;0,IF(AND(E8&gt;0,SUM(E5:E8)&lt;=100),(E2*(E8/100)*(WasteQuality!E2/100)*(WasteQuality!E8/(10^6))*(1-(TreatmentProcesses!E11/100))),""),"")</f>
        <v/>
      </c>
      <c r="F47" s="136"/>
      <c r="G47" s="137" t="str">
        <f>IF(G2&gt;0,IF(AND(G8&gt;0,SUM(G5:G8)&lt;=100),(G2*(G8/100)*(WasteQuality!G2/100)*(WasteQuality!G8/(10^6))*(1-(TreatmentProcesses!G11/100))),""),"")</f>
        <v/>
      </c>
      <c r="H47" s="173"/>
    </row>
    <row r="48" spans="1:11" x14ac:dyDescent="0.25">
      <c r="A48" s="147"/>
      <c r="B48" s="158" t="s">
        <v>131</v>
      </c>
      <c r="C48" s="132" t="str">
        <f>IF(C2&gt;0,IF(AND(C8&gt;0,SUM(C5:C8)&lt;=100),C49/C42,""),"")</f>
        <v/>
      </c>
      <c r="D48" s="133"/>
      <c r="E48" s="132" t="str">
        <f>IF(E2&gt;0,IF(AND(E8&gt;0,SUM(E5:E8)&lt;=100),E49/E42,""),"")</f>
        <v/>
      </c>
      <c r="F48" s="133"/>
      <c r="G48" s="134" t="str">
        <f>IF(G2&gt;0,IF(AND(G8&gt;0,SUM(G5:G8)&lt;=100),G49/G42,""),"")</f>
        <v/>
      </c>
      <c r="H48" s="184"/>
    </row>
    <row r="49" spans="1:19" ht="15.75" thickBot="1" x14ac:dyDescent="0.3">
      <c r="A49" s="148"/>
      <c r="B49" s="159" t="s">
        <v>63</v>
      </c>
      <c r="C49" s="138" t="str">
        <f>IF(C2&gt;0,IF(AND(C8&gt;0,SUM(C5:C8)&lt;=100),(C2*(C8/100)*1000*(WasteQuality!C9/(10^9))*(1-(TreatmentProcesses!C12/100))),""),"")</f>
        <v/>
      </c>
      <c r="D49" s="139"/>
      <c r="E49" s="138" t="str">
        <f>IF(E2&gt;0,IF(AND(E8&gt;0,SUM(E5:E8)&lt;=100),(E2*(E8/100)*(WasteQuality!E2/100)*(WasteQuality!E10/(10^6))*(1-(TreatmentProcesses!E12/100))),""),"")</f>
        <v/>
      </c>
      <c r="F49" s="139"/>
      <c r="G49" s="140" t="str">
        <f>IF(G2&gt;0,IF(AND(G8&gt;0,SUM(G5:G8)&lt;=100),(G2*(G8/100)*(WasteQuality!G2/100)*(WasteQuality!G10/(10^6))*(1-(TreatmentProcesses!G12/100))),""),"")</f>
        <v/>
      </c>
      <c r="H49" s="173"/>
    </row>
    <row r="50" spans="1:19" s="187" customFormat="1" x14ac:dyDescent="0.25">
      <c r="A50" s="185"/>
      <c r="B50" s="186"/>
      <c r="C50" s="173"/>
      <c r="D50" s="178"/>
      <c r="E50" s="178"/>
      <c r="F50" s="178"/>
      <c r="G50" s="178"/>
      <c r="H50" s="178"/>
      <c r="I50" s="174"/>
      <c r="J50" s="176"/>
      <c r="K50" s="176"/>
      <c r="L50" s="183"/>
      <c r="M50" s="183"/>
      <c r="N50" s="183"/>
      <c r="O50" s="183"/>
      <c r="P50" s="183"/>
      <c r="Q50" s="183"/>
      <c r="R50" s="183"/>
      <c r="S50" s="183"/>
    </row>
    <row r="51" spans="1:19" x14ac:dyDescent="0.25">
      <c r="A51" s="188"/>
      <c r="B51" s="189"/>
      <c r="C51" s="178"/>
      <c r="D51" s="178"/>
      <c r="E51" s="178"/>
      <c r="F51" s="178"/>
      <c r="G51" s="178"/>
      <c r="H51" s="178"/>
    </row>
  </sheetData>
  <sheetProtection sheet="1" objects="1" scenarios="1"/>
  <customSheetViews>
    <customSheetView guid="{120C81B3-8656-4BA4-9255-42267753A94D}" showGridLines="0">
      <pane xSplit="2" ySplit="9" topLeftCell="C25" activePane="bottomRight" state="frozen"/>
      <selection pane="bottomRight" sqref="A1:H50"/>
      <pageMargins left="0.7" right="0.7" top="0.75" bottom="0.75" header="0.3" footer="0.3"/>
      <pageSetup paperSize="8" orientation="landscape" r:id="rId1"/>
    </customSheetView>
  </customSheetViews>
  <mergeCells count="4">
    <mergeCell ref="A42:A49"/>
    <mergeCell ref="A25:A28"/>
    <mergeCell ref="A12:A24"/>
    <mergeCell ref="A29:A41"/>
  </mergeCells>
  <pageMargins left="0.7" right="0.7" top="0.75" bottom="0.75" header="0.3" footer="0.3"/>
  <pageSetup paperSize="8" scale="98" orientation="landscape" r:id="rId2"/>
  <ignoredErrors>
    <ignoredError sqref="E9 G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owSummarisedResults">
                <anchor moveWithCells="1" sizeWithCells="1">
                  <from>
                    <xdr:col>0</xdr:col>
                    <xdr:colOff>152400</xdr:colOff>
                    <xdr:row>0</xdr:row>
                    <xdr:rowOff>38100</xdr:rowOff>
                  </from>
                  <to>
                    <xdr:col>0</xdr:col>
                    <xdr:colOff>952500</xdr:colOff>
                    <xdr:row>3</xdr:row>
                    <xdr:rowOff>19050</xdr:rowOff>
                  </to>
                </anchor>
              </controlPr>
            </control>
          </mc:Choice>
        </mc:AlternateContent>
        <mc:AlternateContent xmlns:mc="http://schemas.openxmlformats.org/markup-compatibility/2006">
          <mc:Choice Requires="x14">
            <control shapeId="2050" r:id="rId6" name="Button 2">
              <controlPr defaultSize="0" print="0" autoFill="0" autoPict="0" macro="[0]!ShowFullResults">
                <anchor moveWithCells="1" sizeWithCells="1">
                  <from>
                    <xdr:col>0</xdr:col>
                    <xdr:colOff>142875</xdr:colOff>
                    <xdr:row>3</xdr:row>
                    <xdr:rowOff>85725</xdr:rowOff>
                  </from>
                  <to>
                    <xdr:col>0</xdr:col>
                    <xdr:colOff>942975</xdr:colOff>
                    <xdr:row>6</xdr:row>
                    <xdr:rowOff>66675</xdr:rowOff>
                  </to>
                </anchor>
              </controlPr>
            </control>
          </mc:Choice>
        </mc:AlternateContent>
        <mc:AlternateContent xmlns:mc="http://schemas.openxmlformats.org/markup-compatibility/2006">
          <mc:Choice Requires="x14">
            <control shapeId="2051" r:id="rId7" name="Button 3">
              <controlPr defaultSize="0" print="0" autoFill="0" autoPict="0" macro="[0]!CopyRenameResults">
                <anchor moveWithCells="1" sizeWithCells="1">
                  <from>
                    <xdr:col>0</xdr:col>
                    <xdr:colOff>133350</xdr:colOff>
                    <xdr:row>6</xdr:row>
                    <xdr:rowOff>152400</xdr:rowOff>
                  </from>
                  <to>
                    <xdr:col>0</xdr:col>
                    <xdr:colOff>952500</xdr:colOff>
                    <xdr:row>10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95:AW215"/>
  <sheetViews>
    <sheetView showGridLines="0" showRowColHeaders="0" zoomScale="50" zoomScaleNormal="50" workbookViewId="0"/>
  </sheetViews>
  <sheetFormatPr defaultColWidth="9.140625" defaultRowHeight="15" x14ac:dyDescent="0.25"/>
  <cols>
    <col min="1" max="1" width="9.140625" style="1"/>
    <col min="2" max="2" width="31" style="1" bestFit="1" customWidth="1"/>
    <col min="3" max="3" width="15" style="1" bestFit="1" customWidth="1"/>
    <col min="4" max="4" width="11.42578125" style="1" bestFit="1" customWidth="1"/>
    <col min="5" max="5" width="15.7109375" style="1" bestFit="1" customWidth="1"/>
    <col min="6" max="6" width="15" style="1" bestFit="1" customWidth="1"/>
    <col min="7" max="7" width="10" style="1" bestFit="1" customWidth="1"/>
    <col min="8" max="8" width="15.7109375" style="1" bestFit="1" customWidth="1"/>
    <col min="9" max="9" width="15" style="1" bestFit="1" customWidth="1"/>
    <col min="10" max="10" width="10" style="1" bestFit="1" customWidth="1"/>
    <col min="11" max="11" width="15.7109375" style="1" bestFit="1" customWidth="1"/>
    <col min="12" max="13" width="9.140625" style="1"/>
    <col min="14" max="14" width="45.28515625" style="1" bestFit="1" customWidth="1"/>
    <col min="15" max="15" width="15" style="1" bestFit="1" customWidth="1"/>
    <col min="16" max="16" width="10.5703125" style="1" bestFit="1" customWidth="1"/>
    <col min="17" max="17" width="15.7109375" style="1" bestFit="1" customWidth="1"/>
    <col min="18" max="18" width="15" style="1" bestFit="1" customWidth="1"/>
    <col min="19" max="19" width="10" style="1" bestFit="1" customWidth="1"/>
    <col min="20" max="20" width="15.7109375" style="1" bestFit="1" customWidth="1"/>
    <col min="21" max="21" width="15" style="1" bestFit="1" customWidth="1"/>
    <col min="22" max="22" width="10" style="1" bestFit="1" customWidth="1"/>
    <col min="23" max="23" width="15.7109375" style="1" bestFit="1" customWidth="1"/>
    <col min="24" max="25" width="9.140625" style="1"/>
    <col min="26" max="26" width="43.5703125" style="1" bestFit="1" customWidth="1"/>
    <col min="27" max="27" width="15" style="1" bestFit="1" customWidth="1"/>
    <col min="28" max="28" width="12.5703125" style="1" bestFit="1" customWidth="1"/>
    <col min="29" max="29" width="15.7109375" style="1" bestFit="1" customWidth="1"/>
    <col min="30" max="30" width="15" style="1" bestFit="1" customWidth="1"/>
    <col min="31" max="31" width="10" style="1" bestFit="1" customWidth="1"/>
    <col min="32" max="32" width="15.7109375" style="1" bestFit="1" customWidth="1"/>
    <col min="33" max="33" width="15" style="1" bestFit="1" customWidth="1"/>
    <col min="34" max="34" width="10" style="1" bestFit="1" customWidth="1"/>
    <col min="35" max="35" width="15.7109375" style="1" bestFit="1" customWidth="1"/>
    <col min="36" max="37" width="9.140625" style="1"/>
    <col min="38" max="38" width="55.85546875" style="1" customWidth="1"/>
    <col min="39" max="39" width="14.7109375" style="1" customWidth="1"/>
    <col min="40" max="40" width="13.7109375" style="1" customWidth="1"/>
    <col min="41" max="41" width="11" style="1" customWidth="1"/>
    <col min="42" max="16384" width="9.140625" style="1"/>
  </cols>
  <sheetData>
    <row r="95" s="154" customFormat="1" x14ac:dyDescent="0.25"/>
    <row r="96" s="152" customFormat="1" x14ac:dyDescent="0.25"/>
    <row r="97" spans="2:41" s="149" customFormat="1" hidden="1" x14ac:dyDescent="0.25">
      <c r="B97" s="155" t="s">
        <v>28</v>
      </c>
      <c r="N97" s="150" t="s">
        <v>31</v>
      </c>
      <c r="Z97" s="150" t="s">
        <v>34</v>
      </c>
      <c r="AJ97" s="150" t="s">
        <v>68</v>
      </c>
    </row>
    <row r="98" spans="2:41" s="149" customFormat="1" hidden="1" x14ac:dyDescent="0.25">
      <c r="C98" s="150" t="s">
        <v>43</v>
      </c>
      <c r="D98" s="150"/>
      <c r="O98" s="150" t="s">
        <v>43</v>
      </c>
      <c r="P98" s="150"/>
      <c r="AA98" s="150" t="s">
        <v>43</v>
      </c>
      <c r="AB98" s="150"/>
      <c r="AL98" s="150" t="s">
        <v>43</v>
      </c>
      <c r="AM98" s="150"/>
    </row>
    <row r="99" spans="2:41" s="149" customFormat="1" hidden="1" x14ac:dyDescent="0.25">
      <c r="B99" s="150" t="s">
        <v>87</v>
      </c>
      <c r="C99" s="149" t="str">
        <f>Results!C24</f>
        <v/>
      </c>
      <c r="N99" s="150" t="s">
        <v>87</v>
      </c>
      <c r="O99" s="149" t="str">
        <f>Results!E24</f>
        <v/>
      </c>
      <c r="Z99" s="150" t="s">
        <v>87</v>
      </c>
      <c r="AA99" s="149" t="str">
        <f>Results!G24</f>
        <v/>
      </c>
      <c r="AK99" s="150" t="s">
        <v>87</v>
      </c>
      <c r="AL99" s="149">
        <f>SUM(Results!C24, Results!E24, Results!G24)</f>
        <v>0</v>
      </c>
    </row>
    <row r="100" spans="2:41" s="149" customFormat="1" hidden="1" x14ac:dyDescent="0.25">
      <c r="B100" s="150" t="s">
        <v>37</v>
      </c>
      <c r="C100" s="149" t="str">
        <f>Results!C28</f>
        <v/>
      </c>
      <c r="N100" s="150" t="s">
        <v>37</v>
      </c>
      <c r="O100" s="149" t="str">
        <f>Results!E28</f>
        <v/>
      </c>
      <c r="Z100" s="150" t="s">
        <v>37</v>
      </c>
      <c r="AA100" s="149" t="str">
        <f>Results!G28</f>
        <v/>
      </c>
      <c r="AK100" s="150" t="s">
        <v>37</v>
      </c>
      <c r="AL100" s="149">
        <f>SUM(Results!C28, Results!E28, Results!G28)</f>
        <v>0</v>
      </c>
    </row>
    <row r="101" spans="2:41" s="149" customFormat="1" hidden="1" x14ac:dyDescent="0.25">
      <c r="B101" s="150" t="s">
        <v>143</v>
      </c>
      <c r="C101" s="149" t="str">
        <f>Results!C41</f>
        <v/>
      </c>
      <c r="N101" s="150" t="s">
        <v>143</v>
      </c>
      <c r="O101" s="149" t="str">
        <f>Results!E41</f>
        <v/>
      </c>
      <c r="Z101" s="150" t="s">
        <v>143</v>
      </c>
      <c r="AA101" s="149" t="str">
        <f>Results!G41</f>
        <v/>
      </c>
      <c r="AK101" s="150" t="s">
        <v>143</v>
      </c>
      <c r="AL101" s="149">
        <f>SUM(Results!C41, Results!E41, Results!G41)</f>
        <v>0</v>
      </c>
    </row>
    <row r="102" spans="2:41" s="149" customFormat="1" hidden="1" x14ac:dyDescent="0.25">
      <c r="B102" s="150" t="s">
        <v>144</v>
      </c>
      <c r="C102" s="149" t="str">
        <f>Results!C43</f>
        <v/>
      </c>
      <c r="N102" s="150" t="s">
        <v>144</v>
      </c>
      <c r="O102" s="149" t="str">
        <f>Results!E43</f>
        <v/>
      </c>
      <c r="Z102" s="150" t="s">
        <v>144</v>
      </c>
      <c r="AA102" s="149" t="str">
        <f>Results!G43</f>
        <v/>
      </c>
      <c r="AK102" s="150" t="s">
        <v>144</v>
      </c>
      <c r="AL102" s="149">
        <f>SUM(Results!C43, Results!E43, Results!G43)</f>
        <v>0</v>
      </c>
    </row>
    <row r="103" spans="2:41" s="149" customFormat="1" hidden="1" x14ac:dyDescent="0.25"/>
    <row r="104" spans="2:41" s="149" customFormat="1" hidden="1" x14ac:dyDescent="0.25"/>
    <row r="105" spans="2:41" s="149" customFormat="1" hidden="1" x14ac:dyDescent="0.25">
      <c r="B105" s="150" t="s">
        <v>29</v>
      </c>
      <c r="N105" s="150" t="s">
        <v>32</v>
      </c>
      <c r="Z105" s="150" t="s">
        <v>35</v>
      </c>
      <c r="AK105" s="150" t="s">
        <v>66</v>
      </c>
    </row>
    <row r="106" spans="2:41" s="149" customFormat="1" hidden="1" x14ac:dyDescent="0.25">
      <c r="C106" s="151" t="s">
        <v>40</v>
      </c>
      <c r="D106" s="151" t="s">
        <v>41</v>
      </c>
      <c r="E106" s="151" t="s">
        <v>42</v>
      </c>
      <c r="F106" s="151"/>
      <c r="G106" s="151"/>
      <c r="H106" s="151"/>
      <c r="I106" s="151"/>
      <c r="J106" s="150"/>
      <c r="O106" s="151" t="s">
        <v>40</v>
      </c>
      <c r="P106" s="151" t="s">
        <v>41</v>
      </c>
      <c r="Q106" s="151" t="s">
        <v>42</v>
      </c>
      <c r="R106" s="150"/>
      <c r="S106" s="150"/>
      <c r="T106" s="150"/>
      <c r="U106" s="150"/>
      <c r="V106" s="150"/>
      <c r="AA106" s="151" t="s">
        <v>40</v>
      </c>
      <c r="AB106" s="151" t="s">
        <v>41</v>
      </c>
      <c r="AC106" s="151" t="s">
        <v>42</v>
      </c>
      <c r="AD106" s="150"/>
      <c r="AL106" s="151" t="s">
        <v>40</v>
      </c>
      <c r="AM106" s="151" t="s">
        <v>41</v>
      </c>
      <c r="AN106" s="151" t="s">
        <v>42</v>
      </c>
      <c r="AO106" s="150"/>
    </row>
    <row r="107" spans="2:41" s="149" customFormat="1" hidden="1" x14ac:dyDescent="0.25">
      <c r="B107" s="150" t="s">
        <v>87</v>
      </c>
      <c r="C107" s="149" t="str">
        <f>Results!C19</f>
        <v/>
      </c>
      <c r="D107" s="149" t="str">
        <f>Results!C21</f>
        <v/>
      </c>
      <c r="E107" s="149" t="str">
        <f>Results!C23</f>
        <v/>
      </c>
      <c r="N107" s="150" t="s">
        <v>87</v>
      </c>
      <c r="O107" s="149" t="str">
        <f>Results!E19</f>
        <v/>
      </c>
      <c r="P107" s="149" t="str">
        <f>Results!E21</f>
        <v/>
      </c>
      <c r="Q107" s="149" t="str">
        <f>Results!E23</f>
        <v/>
      </c>
      <c r="Z107" s="150" t="s">
        <v>87</v>
      </c>
      <c r="AA107" s="149" t="str">
        <f>Results!G19</f>
        <v/>
      </c>
      <c r="AB107" s="149" t="str">
        <f>Results!G21</f>
        <v/>
      </c>
      <c r="AC107" s="149" t="str">
        <f>Results!G23</f>
        <v/>
      </c>
      <c r="AK107" s="150" t="s">
        <v>87</v>
      </c>
      <c r="AL107" s="149">
        <f>SUM(Results!C19, Results!E19, Results!G19)</f>
        <v>0</v>
      </c>
      <c r="AM107" s="149">
        <f>SUM(Results!C21, Results!E21, Results!G21)</f>
        <v>0</v>
      </c>
      <c r="AN107" s="149">
        <f>SUM(Results!C23, Results!E23, Results!G23)</f>
        <v>0</v>
      </c>
    </row>
    <row r="108" spans="2:41" s="149" customFormat="1" hidden="1" x14ac:dyDescent="0.25">
      <c r="B108" s="150" t="s">
        <v>37</v>
      </c>
      <c r="C108" s="149">
        <v>0</v>
      </c>
      <c r="D108" s="149">
        <v>0</v>
      </c>
      <c r="E108" s="149">
        <v>0</v>
      </c>
      <c r="N108" s="150" t="s">
        <v>37</v>
      </c>
      <c r="O108" s="149">
        <v>0</v>
      </c>
      <c r="P108" s="149">
        <v>0</v>
      </c>
      <c r="Q108" s="149">
        <v>0</v>
      </c>
      <c r="Z108" s="150" t="s">
        <v>37</v>
      </c>
      <c r="AA108" s="149">
        <v>0</v>
      </c>
      <c r="AB108" s="149">
        <v>0</v>
      </c>
      <c r="AC108" s="149">
        <v>0</v>
      </c>
      <c r="AK108" s="150" t="s">
        <v>37</v>
      </c>
      <c r="AL108" s="149">
        <v>0</v>
      </c>
      <c r="AM108" s="149">
        <v>0</v>
      </c>
      <c r="AN108" s="149">
        <v>0</v>
      </c>
    </row>
    <row r="109" spans="2:41" s="149" customFormat="1" hidden="1" x14ac:dyDescent="0.25">
      <c r="B109" s="150" t="s">
        <v>143</v>
      </c>
      <c r="C109" s="149" t="str">
        <f>Results!C36</f>
        <v/>
      </c>
      <c r="D109" s="149" t="str">
        <f>Results!C38</f>
        <v/>
      </c>
      <c r="E109" s="149" t="str">
        <f>Results!C40</f>
        <v/>
      </c>
      <c r="N109" s="150" t="s">
        <v>143</v>
      </c>
      <c r="O109" s="149" t="str">
        <f>Results!E36</f>
        <v/>
      </c>
      <c r="P109" s="149" t="str">
        <f>Results!E38</f>
        <v/>
      </c>
      <c r="Q109" s="149" t="str">
        <f>Results!E40</f>
        <v/>
      </c>
      <c r="Z109" s="150" t="s">
        <v>143</v>
      </c>
      <c r="AA109" s="149" t="str">
        <f>Results!G36</f>
        <v/>
      </c>
      <c r="AB109" s="149" t="str">
        <f>Results!G38</f>
        <v/>
      </c>
      <c r="AC109" s="149" t="str">
        <f>Results!G40</f>
        <v/>
      </c>
      <c r="AK109" s="150" t="s">
        <v>143</v>
      </c>
      <c r="AL109" s="149">
        <f>SUM(Results!C36, Results!E36, Results!G36)</f>
        <v>0</v>
      </c>
      <c r="AM109" s="149">
        <f>SUM(Results!C38, Results!E38, Results!G38)</f>
        <v>0</v>
      </c>
      <c r="AN109" s="149">
        <f>SUM(Results!C40, Results!E40, Results!G40)</f>
        <v>0</v>
      </c>
    </row>
    <row r="110" spans="2:41" s="149" customFormat="1" hidden="1" x14ac:dyDescent="0.25">
      <c r="B110" s="150" t="s">
        <v>144</v>
      </c>
      <c r="C110" s="149" t="str">
        <f>Results!C45</f>
        <v/>
      </c>
      <c r="D110" s="149" t="str">
        <f>Results!C47</f>
        <v/>
      </c>
      <c r="E110" s="149" t="str">
        <f>Results!C49</f>
        <v/>
      </c>
      <c r="N110" s="150" t="s">
        <v>144</v>
      </c>
      <c r="O110" s="149" t="str">
        <f>Results!E45</f>
        <v/>
      </c>
      <c r="P110" s="149" t="str">
        <f>Results!E47</f>
        <v/>
      </c>
      <c r="Q110" s="149" t="str">
        <f>Results!E49</f>
        <v/>
      </c>
      <c r="Z110" s="150" t="s">
        <v>144</v>
      </c>
      <c r="AA110" s="149" t="str">
        <f>Results!G45</f>
        <v/>
      </c>
      <c r="AB110" s="149" t="str">
        <f>Results!G47</f>
        <v/>
      </c>
      <c r="AC110" s="149" t="str">
        <f>Results!G49</f>
        <v/>
      </c>
      <c r="AK110" s="150" t="s">
        <v>144</v>
      </c>
      <c r="AL110" s="149">
        <f>SUM(Results!C45, Results!E45, Results!G45)</f>
        <v>0</v>
      </c>
      <c r="AM110" s="149">
        <f>SUM(Results!C47, Results!E47, Results!G47)</f>
        <v>0</v>
      </c>
      <c r="AN110" s="149">
        <f>SUM(Results!C49, Results!E49, Results!G49)</f>
        <v>0</v>
      </c>
    </row>
    <row r="111" spans="2:41" s="149" customFormat="1" hidden="1" x14ac:dyDescent="0.25"/>
    <row r="112" spans="2:41" s="149" customFormat="1" hidden="1" x14ac:dyDescent="0.25"/>
    <row r="113" spans="2:39" s="149" customFormat="1" hidden="1" x14ac:dyDescent="0.25">
      <c r="B113" s="150" t="s">
        <v>30</v>
      </c>
      <c r="N113" s="150" t="s">
        <v>33</v>
      </c>
      <c r="Z113" s="150" t="s">
        <v>36</v>
      </c>
      <c r="AK113" s="150" t="s">
        <v>67</v>
      </c>
    </row>
    <row r="114" spans="2:39" s="149" customFormat="1" hidden="1" x14ac:dyDescent="0.25">
      <c r="C114" s="150" t="s">
        <v>43</v>
      </c>
      <c r="D114" s="150"/>
      <c r="O114" s="150" t="s">
        <v>43</v>
      </c>
      <c r="P114" s="150"/>
      <c r="AA114" s="150" t="s">
        <v>43</v>
      </c>
      <c r="AB114" s="150"/>
      <c r="AL114" s="150" t="s">
        <v>43</v>
      </c>
      <c r="AM114" s="150"/>
    </row>
    <row r="115" spans="2:39" s="149" customFormat="1" hidden="1" x14ac:dyDescent="0.25">
      <c r="B115" s="150" t="s">
        <v>87</v>
      </c>
      <c r="C115" s="149" t="str">
        <f>Results!C13</f>
        <v/>
      </c>
      <c r="N115" s="150" t="s">
        <v>87</v>
      </c>
      <c r="O115" s="149" t="str">
        <f>Results!E13</f>
        <v/>
      </c>
      <c r="Z115" s="150" t="s">
        <v>87</v>
      </c>
      <c r="AA115" s="149" t="str">
        <f>Results!G13</f>
        <v/>
      </c>
      <c r="AK115" s="150" t="s">
        <v>87</v>
      </c>
      <c r="AL115" s="149">
        <f>SUM(Results!C13, Results!E13, Results!G13)</f>
        <v>0</v>
      </c>
    </row>
    <row r="116" spans="2:39" s="149" customFormat="1" hidden="1" x14ac:dyDescent="0.25">
      <c r="B116" s="150" t="s">
        <v>37</v>
      </c>
      <c r="C116" s="149" t="str">
        <f>Results!C26</f>
        <v/>
      </c>
      <c r="N116" s="150" t="s">
        <v>37</v>
      </c>
      <c r="O116" s="149" t="str">
        <f>Results!E26</f>
        <v/>
      </c>
      <c r="Z116" s="150" t="s">
        <v>37</v>
      </c>
      <c r="AA116" s="149" t="str">
        <f>Results!G26</f>
        <v/>
      </c>
      <c r="AK116" s="150" t="s">
        <v>37</v>
      </c>
      <c r="AL116" s="149">
        <f>SUM(Results!C26, Results!E26, Results!G26)</f>
        <v>0</v>
      </c>
    </row>
    <row r="117" spans="2:39" s="149" customFormat="1" hidden="1" x14ac:dyDescent="0.25">
      <c r="B117" s="150" t="s">
        <v>143</v>
      </c>
      <c r="C117" s="149">
        <v>0</v>
      </c>
      <c r="N117" s="150" t="s">
        <v>143</v>
      </c>
      <c r="O117" s="149">
        <v>0</v>
      </c>
      <c r="Z117" s="150" t="s">
        <v>143</v>
      </c>
      <c r="AA117" s="149">
        <v>0</v>
      </c>
      <c r="AK117" s="150" t="s">
        <v>143</v>
      </c>
      <c r="AL117" s="149">
        <v>0</v>
      </c>
    </row>
    <row r="118" spans="2:39" s="149" customFormat="1" hidden="1" x14ac:dyDescent="0.25">
      <c r="B118" s="150" t="s">
        <v>144</v>
      </c>
      <c r="C118" s="149">
        <v>0</v>
      </c>
      <c r="N118" s="150" t="s">
        <v>144</v>
      </c>
      <c r="O118" s="149">
        <v>0</v>
      </c>
      <c r="Z118" s="150" t="s">
        <v>144</v>
      </c>
      <c r="AA118" s="149">
        <v>0</v>
      </c>
      <c r="AK118" s="150" t="s">
        <v>144</v>
      </c>
      <c r="AL118" s="149">
        <v>0</v>
      </c>
    </row>
    <row r="119" spans="2:39" s="152" customFormat="1" hidden="1" x14ac:dyDescent="0.25"/>
    <row r="120" spans="2:39" s="153" customFormat="1" x14ac:dyDescent="0.25"/>
    <row r="121" spans="2:39" s="153" customFormat="1" x14ac:dyDescent="0.25"/>
    <row r="122" spans="2:39" s="153" customFormat="1" x14ac:dyDescent="0.25"/>
    <row r="123" spans="2:39" s="153" customFormat="1" x14ac:dyDescent="0.25"/>
    <row r="124" spans="2:39" s="153" customFormat="1" x14ac:dyDescent="0.25"/>
    <row r="125" spans="2:39" s="153" customFormat="1" x14ac:dyDescent="0.25"/>
    <row r="126" spans="2:39" s="153" customFormat="1" x14ac:dyDescent="0.25"/>
    <row r="127" spans="2:39" s="154" customFormat="1" x14ac:dyDescent="0.25"/>
    <row r="128" spans="2:39" s="154" customFormat="1" x14ac:dyDescent="0.25"/>
    <row r="129" s="154" customFormat="1" x14ac:dyDescent="0.25"/>
    <row r="130" s="154" customFormat="1" x14ac:dyDescent="0.25"/>
    <row r="131" s="154" customFormat="1" x14ac:dyDescent="0.25"/>
    <row r="132" s="154" customFormat="1" x14ac:dyDescent="0.25"/>
    <row r="133" s="154" customFormat="1" x14ac:dyDescent="0.25"/>
    <row r="134" s="154" customFormat="1" x14ac:dyDescent="0.25"/>
    <row r="135" s="154" customFormat="1" x14ac:dyDescent="0.25"/>
    <row r="136" s="6" customFormat="1" x14ac:dyDescent="0.25"/>
    <row r="137" s="6" customFormat="1" x14ac:dyDescent="0.25"/>
    <row r="138" s="6" customFormat="1" x14ac:dyDescent="0.25"/>
    <row r="139" s="6" customFormat="1" x14ac:dyDescent="0.25"/>
    <row r="140" s="6" customFormat="1" x14ac:dyDescent="0.25"/>
    <row r="141" s="6" customFormat="1" x14ac:dyDescent="0.25"/>
    <row r="142" s="6" customFormat="1" x14ac:dyDescent="0.25"/>
    <row r="143" s="6" customFormat="1" x14ac:dyDescent="0.25"/>
    <row r="144" s="6" customFormat="1" x14ac:dyDescent="0.25"/>
    <row r="145" spans="1:49" s="6" customFormat="1" x14ac:dyDescent="0.25"/>
    <row r="146" spans="1:49" s="6" customFormat="1" x14ac:dyDescent="0.25"/>
    <row r="147" spans="1:49" s="6" customFormat="1" x14ac:dyDescent="0.25"/>
    <row r="148" spans="1:49" x14ac:dyDescent="0.2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row>
    <row r="149" spans="1:49" x14ac:dyDescent="0.2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row>
    <row r="150" spans="1:49" x14ac:dyDescent="0.2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row>
    <row r="151" spans="1:49" x14ac:dyDescent="0.2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row>
    <row r="152" spans="1:49" x14ac:dyDescent="0.2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row>
    <row r="153" spans="1:49" x14ac:dyDescent="0.2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row>
    <row r="154" spans="1:49" x14ac:dyDescent="0.2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row>
    <row r="155" spans="1:49" x14ac:dyDescent="0.2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row>
    <row r="156" spans="1:49" x14ac:dyDescent="0.2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row>
    <row r="157" spans="1:49" x14ac:dyDescent="0.2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row>
    <row r="158" spans="1:49" x14ac:dyDescent="0.2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row>
    <row r="159" spans="1:49" x14ac:dyDescent="0.2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row>
    <row r="160" spans="1:49" x14ac:dyDescent="0.2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row>
    <row r="161" spans="1:49" x14ac:dyDescent="0.2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row>
    <row r="162" spans="1:49" x14ac:dyDescent="0.2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row>
    <row r="163" spans="1:49" x14ac:dyDescent="0.2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row>
    <row r="164" spans="1:49" x14ac:dyDescent="0.2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row>
    <row r="165" spans="1:49"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row>
    <row r="166" spans="1:49" x14ac:dyDescent="0.2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row>
    <row r="167" spans="1:49" x14ac:dyDescent="0.2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row>
    <row r="168" spans="1:49" x14ac:dyDescent="0.2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row>
    <row r="169" spans="1:49" x14ac:dyDescent="0.2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row>
    <row r="170" spans="1:49" x14ac:dyDescent="0.2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row>
    <row r="171" spans="1:49" x14ac:dyDescent="0.2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row>
    <row r="172" spans="1:49" x14ac:dyDescent="0.2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row>
    <row r="173" spans="1:49" x14ac:dyDescent="0.2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row>
    <row r="174" spans="1:49" x14ac:dyDescent="0.2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row>
    <row r="175" spans="1:49" x14ac:dyDescent="0.2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row>
    <row r="176" spans="1:49" x14ac:dyDescent="0.2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row>
    <row r="177" spans="1:49" x14ac:dyDescent="0.2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row>
    <row r="178" spans="1:49" x14ac:dyDescent="0.2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row>
    <row r="179" spans="1:49" x14ac:dyDescent="0.2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row>
    <row r="180" spans="1:49" x14ac:dyDescent="0.2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row>
    <row r="181" spans="1:49" x14ac:dyDescent="0.2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row>
    <row r="182" spans="1:49" x14ac:dyDescent="0.2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row>
    <row r="183" spans="1:49" x14ac:dyDescent="0.2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row>
    <row r="184" spans="1:49" x14ac:dyDescent="0.2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row>
    <row r="185" spans="1:49" x14ac:dyDescent="0.2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row>
    <row r="186" spans="1:49" x14ac:dyDescent="0.2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row>
    <row r="187" spans="1:49" x14ac:dyDescent="0.2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row>
    <row r="188" spans="1:49" x14ac:dyDescent="0.2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row>
    <row r="189" spans="1:49" x14ac:dyDescent="0.2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row>
    <row r="190" spans="1:49" x14ac:dyDescent="0.2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row>
    <row r="191" spans="1:49" x14ac:dyDescent="0.2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row>
    <row r="192" spans="1:49" x14ac:dyDescent="0.2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row>
    <row r="193" spans="1:49" x14ac:dyDescent="0.2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row>
    <row r="194" spans="1:49" x14ac:dyDescent="0.2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row>
    <row r="195" spans="1:49" x14ac:dyDescent="0.2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row>
    <row r="196" spans="1:49" x14ac:dyDescent="0.2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row>
    <row r="197" spans="1:49" x14ac:dyDescent="0.2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row>
    <row r="198" spans="1:49" x14ac:dyDescent="0.2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row>
    <row r="199" spans="1:49" x14ac:dyDescent="0.2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row>
    <row r="200" spans="1:49" x14ac:dyDescent="0.2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row>
    <row r="201" spans="1:49" x14ac:dyDescent="0.2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row>
    <row r="202" spans="1:49" x14ac:dyDescent="0.2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row>
    <row r="203" spans="1:49" x14ac:dyDescent="0.2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row>
    <row r="204" spans="1:49" x14ac:dyDescent="0.2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row>
    <row r="205" spans="1:49" x14ac:dyDescent="0.2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row>
    <row r="206" spans="1:49" x14ac:dyDescent="0.2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row>
    <row r="207" spans="1:49" x14ac:dyDescent="0.25">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row>
    <row r="208" spans="1:49" x14ac:dyDescent="0.25">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row>
    <row r="209" spans="1:49" x14ac:dyDescent="0.25">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row>
    <row r="210" spans="1:49" x14ac:dyDescent="0.25">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row>
    <row r="211" spans="1:49" x14ac:dyDescent="0.25">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row>
    <row r="212" spans="1:49" x14ac:dyDescent="0.25">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row>
    <row r="213" spans="1:49" x14ac:dyDescent="0.25">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row>
    <row r="214" spans="1:49" x14ac:dyDescent="0.25">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row>
    <row r="215" spans="1:49" x14ac:dyDescent="0.25">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row>
  </sheetData>
  <sheetProtection sheet="1" objects="1" scenarios="1"/>
  <customSheetViews>
    <customSheetView guid="{120C81B3-8656-4BA4-9255-42267753A94D}" scale="70" showGridLines="0" hiddenRows="1">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9F87353EBA53A43B033AB1C4D0E4E98" ma:contentTypeVersion="7" ma:contentTypeDescription="Create a new document." ma:contentTypeScope="" ma:versionID="75e43e2c5385c04e5031fa1d03a83266">
  <xsd:schema xmlns:xsd="http://www.w3.org/2001/XMLSchema" xmlns:xs="http://www.w3.org/2001/XMLSchema" xmlns:p="http://schemas.microsoft.com/office/2006/metadata/properties" xmlns:ns2="6b9eeb1c-bbfc-4cf9-9060-fc88ad9dccef" xmlns:ns3="2f23ba61-a342-4194-a761-05dc9ac367db" targetNamespace="http://schemas.microsoft.com/office/2006/metadata/properties" ma:root="true" ma:fieldsID="473eb6db6ee9cce827709cd0f2f3c680" ns2:_="" ns3:_="">
    <xsd:import namespace="6b9eeb1c-bbfc-4cf9-9060-fc88ad9dccef"/>
    <xsd:import namespace="2f23ba61-a342-4194-a761-05dc9ac367d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9eeb1c-bbfc-4cf9-9060-fc88ad9dcc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Location" ma:index="14" nillable="true" ma:displayName="MediaServic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f23ba61-a342-4194-a761-05dc9ac367d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A1B9C98-154D-4C63-98C5-AAF4C60A41E7}">
  <ds:schemaRefs>
    <ds:schemaRef ds:uri="fd9f5561-ea29-4c23-a642-684049d28456"/>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aae38849-3b44-4dee-9fe5-ab99586147bb"/>
    <ds:schemaRef ds:uri="http://www.w3.org/XML/1998/namespace"/>
    <ds:schemaRef ds:uri="http://purl.org/dc/dcmitype/"/>
  </ds:schemaRefs>
</ds:datastoreItem>
</file>

<file path=customXml/itemProps2.xml><?xml version="1.0" encoding="utf-8"?>
<ds:datastoreItem xmlns:ds="http://schemas.openxmlformats.org/officeDocument/2006/customXml" ds:itemID="{89180FE4-3803-4792-A6BD-27E051BF1FF9}"/>
</file>

<file path=customXml/itemProps3.xml><?xml version="1.0" encoding="utf-8"?>
<ds:datastoreItem xmlns:ds="http://schemas.openxmlformats.org/officeDocument/2006/customXml" ds:itemID="{B502060F-D0A7-459A-932C-1BC2639A003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WasteQuality</vt:lpstr>
      <vt:lpstr>TreatmentProcesses</vt:lpstr>
      <vt:lpstr>Prices</vt:lpstr>
      <vt:lpstr>Results</vt:lpstr>
      <vt:lpstr>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Ddiba</dc:creator>
  <cp:lastModifiedBy>Daniel Ddiba</cp:lastModifiedBy>
  <cp:lastPrinted>2018-09-24T12:42:44Z</cp:lastPrinted>
  <dcterms:created xsi:type="dcterms:W3CDTF">2016-03-10T13:58:47Z</dcterms:created>
  <dcterms:modified xsi:type="dcterms:W3CDTF">2018-09-24T15:07:59Z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0x010100D9F87353EBA53A43B033AB1C4D0E4E98</vt:lpwstr>
  </property>
</Properties>
</file>